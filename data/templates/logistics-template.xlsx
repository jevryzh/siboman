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<sst xmlns="http://schemas.openxmlformats.org/spreadsheetml/2006/main" count="17" uniqueCount="17">
  <si>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SkuId</t>
  </si>
  <si>
    <t>重量（克）</t>
  </si>
  <si>
    <t>黑标价</t>
  </si>
  <si>
    <t>阿里巴巴采购价(预)</t>
  </si>
  <si>
    <t>头程物流费</t>
  </si>
  <si>
    <t>佣金</t>
  </si>
  <si>
    <t>贴单</t>
  </si>
  <si>
    <t>尾程物流</t>
  </si>
  <si>
    <t>广告费</t>
  </si>
  <si>
    <t>收单业务费</t>
  </si>
  <si>
    <t>总成本</t>
  </si>
  <si>
    <t>盈亏</t>
  </si>
  <si>
    <t>利润率</t>
  </si>
  <si>
    <t>ozon上架格式</t>
  </si>
  <si>
    <t>匹配组别</t>
  </si>
  <si>
    <t>计费重量(KG)</t>
  </si>
  <si>
    <t>汇率(RMB兑RUB)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</si>
</sst>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0" xfId="0" applyFont="1" applyFill="1" applyBorder="1" applyAlignment="1"/>
    <xf numFmtId="0" fontId="0" fillId="0" borderId="0" xfId="0" applyAlignment="1"/>
    <xf numFmtId="0" fontId="0" fillId="3" borderId="0" xfId="0" applyFill="1" applyAlignment="1"/>
    <xf numFmtId="0" fontId="2" fillId="4" borderId="0" xfId="0" applyFont="1" applyFill="1" applyAlignment="1">
      <alignment horizontal="center" vertical="center"/>
    </xf>
    <xf numFmtId="2" fontId="0" fillId="0" borderId="0" xfId="0" applyNumberFormat="1" applyAlignment="1"/>
    <xf numFmtId="2" fontId="0" fillId="3" borderId="0" xfId="0" applyNumberFormat="1" applyFill="1" applyAlignment="1"/>
    <xf numFmtId="10" fontId="0" fillId="0" borderId="0" xfId="0" applyNumberFormat="1" applyAlignment="1"/>
    <xf numFmtId="176" fontId="0" fillId="0" borderId="0" xfId="0" applyNumberFormat="1" applyAlignment="1"/>
    <xf numFmtId="177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.23076923076923" defaultRowHeight="16.8"/>
  <cols>
    <col min="1" max="3" width="11.6153846153846" style="1" customWidth="1"/>
    <col min="4" max="4" width="17.0673076923077" style="1" customWidth="1"/>
    <col min="5" max="5" width="14" style="2" customWidth="1"/>
    <col min="6" max="6" width="12" style="2" customWidth="1"/>
    <col min="7" max="7" width="10" style="2" customWidth="1"/>
    <col min="8" max="9" width="12" style="2" customWidth="1"/>
    <col min="10" max="10" width="14" style="2" customWidth="1"/>
    <col min="11" max="11" width="12" style="2" customWidth="1"/>
    <col min="12" max="12" width="12" style="3" customWidth="1"/>
    <col min="13" max="13" width="12" style="2" customWidth="1"/>
    <col min="14" max="14" width="24" style="2" customWidth="1"/>
    <col min="15" max="15" width="16" style="2" customWidth="1"/>
    <col min="16" max="16" width="14" style="2" customWidth="1"/>
    <col min="18" max="18" width="18" style="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/>
      <c r="R1" s="4" t="s">
        <v>16</v>
      </c>
    </row>
    <row r="2" spans="5:18">
      <c r="E2" s="5" t="str">
        <f t="shared" ref="E2:E65" si="0">IF(OR(TRIM(B2&amp;"")="",TRIM(C2&amp;"")=""),"",IF(O2="无法匹配","无法匹配",IF(O2="Big","未上线",IF(O2="Extra Small",ROUND(P2*1000*0.025+3,2),IF(O2="Budget",ROUND(P2*1000*0.017+23,2),IF(O2="Small",ROUND(P2*1000*0.025+16,2),IF(O2="Premium Small",ROUND(P2*1000*0.025+22,2),IF(O2="Premium Big",ROUND(P2*1000*0.023+62,2),""))))))))</f>
        <v/>
      </c>
      <c r="F2" s="5" t="str">
        <f t="shared" ref="F2:F65" si="1">IF(TRIM(C2&amp;"")="","",ROUND(IFERROR(VALUE(C2),0)*IF((IFERROR(VALUE(C2),0)*$R$2)&lt;1500,12%,20%),2))</f>
        <v/>
      </c>
      <c r="G2" s="5" t="str">
        <f t="shared" ref="G2:G65" si="2">IF(TRIM(C2&amp;"")="","",3)</f>
        <v/>
      </c>
      <c r="H2" s="5" t="str">
        <f t="shared" ref="H2:H65" si="3">IF(TRIM(C2&amp;"")="","",ROUND(IFERROR(VALUE(C2),0)*2%,2))</f>
        <v/>
      </c>
      <c r="I2" s="5"/>
      <c r="J2" s="5" t="str">
        <f t="shared" ref="J2:J65" si="4">IF(TRIM(C2&amp;"")="","",ROUND(IFERROR(VALUE(C2),0)*2%,2))</f>
        <v/>
      </c>
      <c r="K2" s="5" t="str">
        <f t="shared" ref="K2:K65" si="5">IF(TRIM(C2&amp;"")="","",IF(OR(E2="未上线",E2="无法匹配"),E2,ROUND(IFERROR(VALUE(D2),0)+N(E2)+N(F2)+N(G2)+N(H2)+IFERROR(VALUE(I2),0)+N(J2),2)))</f>
        <v/>
      </c>
      <c r="L2" s="6" t="str">
        <f t="shared" ref="L2:L65" si="6">IF(TRIM(C2&amp;"")="","",IF(OR(E2="未上线",E2="无法匹配"),E2,ROUND(IFERROR(VALUE(C2),0)-K2,2)))</f>
        <v/>
      </c>
      <c r="M2" s="7" t="str">
        <f t="shared" ref="M2:M65" si="7">IF(TRIM(C2&amp;"")="","",IF(OR(E2="未上线",E2="无法匹配"),"",IF(IFERROR(VALUE(C2),0)=0,"",L2/IFERROR(VALUE(C2),0))))</f>
        <v/>
      </c>
      <c r="N2" t="str">
        <f t="shared" ref="N2:N65" si="8">IF(OR(TRIM(A2&amp;"")="",TRIM(C2&amp;"")=""),"",A2&amp;","&amp;ROUND(IFERROR(VALUE(C2),0)*2,0))</f>
        <v/>
      </c>
      <c r="O2" t="str">
        <f t="shared" ref="O2:O65" si="9">IF(OR(TRIM(B2&amp;"")="",TRIM(C2&amp;"")=""),"",IF(AND((IFERROR(VALUE(C2),0)*$R$2)&gt;=0,(IFERROR(VALUE(C2),0)*$R$2)&lt;1500,IFERROR(VALUE(B2),0)&gt;=0,IFERROR(VALUE(B2),0)&lt;=500),"Extra Small",IF(AND((IFERROR(VALUE(C2),0)*$R$2)&gt;=0,(IFERROR(VALUE(C2),0)*$R$2)&lt;1500,IFERROR(VALUE(B2),0)&gt;500,IFERROR(VALUE(B2),0)&lt;=30000),"Budget",IF(AND((IFERROR(VALUE(C2),0)*$R$2)&gt;=1500,(IFERROR(VALUE(C2),0)*$R$2)&lt;7000,IFERROR(VALUE(B2),0)&gt;=0,IFERROR(VALUE(B2),0)&lt;=2000),"Small",IF(AND((IFERROR(VALUE(C2),0)*$R$2)&gt;=1500,(IFERROR(VALUE(C2),0)*$R$2)&lt;7000,IFERROR(VALUE(B2),0)&gt;2000,IFERROR(VALUE(B2),0)&lt;=30000),"Big",IF(AND((IFERROR(VALUE(C2),0)*$R$2)&gt;=7000,(IFERROR(VALUE(C2),0)*$R$2)&lt;=250000,IFERROR(VALUE(B2),0)&gt;=0,IFERROR(VALUE(B2),0)&lt;=5000),"Premium Small",IF(AND((IFERROR(VALUE(C2),0)*$R$2)&gt;=7000,(IFERROR(VALUE(C2),0)*$R$2)&lt;=250000,IFERROR(VALUE(B2),0)&gt;5000,IFERROR(VALUE(B2),0)&lt;=30000),"Premium Big","无法匹配")))))))</f>
        <v/>
      </c>
      <c r="P2" s="8" t="str">
        <f t="shared" ref="P2:P65" si="10">IF(O2="","",IF(O2="无法匹配","",IF(OR(O2="Extra Small",O2="Budget"),ROUND(IFERROR(VALUE(B2),0)/1000,3),ROUND(MAX(IFERROR(VALUE(B2),0)/1000,(20*20*20/12000)),3))))</f>
        <v/>
      </c>
      <c r="R2" s="9">
        <v>11</v>
      </c>
    </row>
    <row r="3" spans="5:16">
      <c r="E3" s="5" t="str">
        <f t="shared" si="0"/>
        <v/>
      </c>
      <c r="F3" s="5" t="str">
        <f t="shared" si="1"/>
        <v/>
      </c>
      <c r="G3" s="5" t="str">
        <f t="shared" si="2"/>
        <v/>
      </c>
      <c r="H3" s="5" t="str">
        <f t="shared" si="3"/>
        <v/>
      </c>
      <c r="I3" s="5"/>
      <c r="J3" s="5" t="str">
        <f t="shared" si="4"/>
        <v/>
      </c>
      <c r="K3" s="5" t="str">
        <f t="shared" si="5"/>
        <v/>
      </c>
      <c r="L3" s="6" t="str">
        <f t="shared" si="6"/>
        <v/>
      </c>
      <c r="M3" s="7" t="str">
        <f t="shared" si="7"/>
        <v/>
      </c>
      <c r="N3" t="str">
        <f t="shared" si="8"/>
        <v/>
      </c>
      <c r="O3" t="str">
        <f t="shared" si="9"/>
        <v/>
      </c>
      <c r="P3" s="8" t="str">
        <f t="shared" si="10"/>
        <v/>
      </c>
    </row>
    <row r="4" spans="5:16">
      <c r="E4" s="5" t="str">
        <f t="shared" si="0"/>
        <v/>
      </c>
      <c r="F4" s="5" t="str">
        <f t="shared" si="1"/>
        <v/>
      </c>
      <c r="G4" s="5" t="str">
        <f t="shared" si="2"/>
        <v/>
      </c>
      <c r="H4" s="5" t="str">
        <f t="shared" si="3"/>
        <v/>
      </c>
      <c r="I4" s="5"/>
      <c r="J4" s="5" t="str">
        <f t="shared" si="4"/>
        <v/>
      </c>
      <c r="K4" s="5" t="str">
        <f t="shared" si="5"/>
        <v/>
      </c>
      <c r="L4" s="6" t="str">
        <f t="shared" si="6"/>
        <v/>
      </c>
      <c r="M4" s="7" t="str">
        <f t="shared" si="7"/>
        <v/>
      </c>
      <c r="N4" t="str">
        <f t="shared" si="8"/>
        <v/>
      </c>
      <c r="O4" t="str">
        <f t="shared" si="9"/>
        <v/>
      </c>
      <c r="P4" s="8" t="str">
        <f t="shared" si="10"/>
        <v/>
      </c>
    </row>
    <row r="5" spans="5:16">
      <c r="E5" s="5" t="str">
        <f t="shared" si="0"/>
        <v/>
      </c>
      <c r="F5" s="5" t="str">
        <f t="shared" si="1"/>
        <v/>
      </c>
      <c r="G5" s="5" t="str">
        <f t="shared" si="2"/>
        <v/>
      </c>
      <c r="H5" s="5" t="str">
        <f t="shared" si="3"/>
        <v/>
      </c>
      <c r="I5" s="5"/>
      <c r="J5" s="5" t="str">
        <f t="shared" si="4"/>
        <v/>
      </c>
      <c r="K5" s="5" t="str">
        <f t="shared" si="5"/>
        <v/>
      </c>
      <c r="L5" s="6" t="str">
        <f t="shared" si="6"/>
        <v/>
      </c>
      <c r="M5" s="7" t="str">
        <f t="shared" si="7"/>
        <v/>
      </c>
      <c r="N5" t="str">
        <f t="shared" si="8"/>
        <v/>
      </c>
      <c r="O5" t="str">
        <f t="shared" si="9"/>
        <v/>
      </c>
      <c r="P5" s="8" t="str">
        <f t="shared" si="10"/>
        <v/>
      </c>
    </row>
    <row r="6" spans="5:16">
      <c r="E6" s="5" t="str">
        <f t="shared" si="0"/>
        <v/>
      </c>
      <c r="F6" s="5" t="str">
        <f t="shared" si="1"/>
        <v/>
      </c>
      <c r="G6" s="5" t="str">
        <f t="shared" si="2"/>
        <v/>
      </c>
      <c r="H6" s="5" t="str">
        <f t="shared" si="3"/>
        <v/>
      </c>
      <c r="I6" s="5"/>
      <c r="J6" s="5" t="str">
        <f t="shared" si="4"/>
        <v/>
      </c>
      <c r="K6" s="5" t="str">
        <f t="shared" si="5"/>
        <v/>
      </c>
      <c r="L6" s="6" t="str">
        <f t="shared" si="6"/>
        <v/>
      </c>
      <c r="M6" s="7" t="str">
        <f t="shared" si="7"/>
        <v/>
      </c>
      <c r="N6" t="str">
        <f t="shared" si="8"/>
        <v/>
      </c>
      <c r="O6" t="str">
        <f t="shared" si="9"/>
        <v/>
      </c>
      <c r="P6" s="8" t="str">
        <f t="shared" si="10"/>
        <v/>
      </c>
    </row>
    <row r="7" spans="5:16">
      <c r="E7" s="5" t="str">
        <f t="shared" si="0"/>
        <v/>
      </c>
      <c r="F7" s="5" t="str">
        <f t="shared" si="1"/>
        <v/>
      </c>
      <c r="G7" s="5" t="str">
        <f t="shared" si="2"/>
        <v/>
      </c>
      <c r="H7" s="5" t="str">
        <f t="shared" si="3"/>
        <v/>
      </c>
      <c r="I7" s="5"/>
      <c r="J7" s="5" t="str">
        <f t="shared" si="4"/>
        <v/>
      </c>
      <c r="K7" s="5" t="str">
        <f t="shared" si="5"/>
        <v/>
      </c>
      <c r="L7" s="6" t="str">
        <f t="shared" si="6"/>
        <v/>
      </c>
      <c r="M7" s="7" t="str">
        <f t="shared" si="7"/>
        <v/>
      </c>
      <c r="N7" t="str">
        <f t="shared" si="8"/>
        <v/>
      </c>
      <c r="O7" t="str">
        <f t="shared" si="9"/>
        <v/>
      </c>
      <c r="P7" s="8" t="str">
        <f t="shared" si="10"/>
        <v/>
      </c>
    </row>
    <row r="8" spans="5:16">
      <c r="E8" s="5" t="str">
        <f t="shared" si="0"/>
        <v/>
      </c>
      <c r="F8" s="5" t="str">
        <f t="shared" si="1"/>
        <v/>
      </c>
      <c r="G8" s="5" t="str">
        <f t="shared" si="2"/>
        <v/>
      </c>
      <c r="H8" s="5" t="str">
        <f t="shared" si="3"/>
        <v/>
      </c>
      <c r="I8" s="5"/>
      <c r="J8" s="5" t="str">
        <f t="shared" si="4"/>
        <v/>
      </c>
      <c r="K8" s="5" t="str">
        <f t="shared" si="5"/>
        <v/>
      </c>
      <c r="L8" s="6" t="str">
        <f t="shared" si="6"/>
        <v/>
      </c>
      <c r="M8" s="7" t="str">
        <f t="shared" si="7"/>
        <v/>
      </c>
      <c r="N8" t="str">
        <f t="shared" si="8"/>
        <v/>
      </c>
      <c r="O8" t="str">
        <f t="shared" si="9"/>
        <v/>
      </c>
      <c r="P8" s="8" t="str">
        <f t="shared" si="10"/>
        <v/>
      </c>
    </row>
    <row r="9" spans="5:16">
      <c r="E9" s="5" t="str">
        <f t="shared" si="0"/>
        <v/>
      </c>
      <c r="F9" s="5" t="str">
        <f t="shared" si="1"/>
        <v/>
      </c>
      <c r="G9" s="5" t="str">
        <f t="shared" si="2"/>
        <v/>
      </c>
      <c r="H9" s="5" t="str">
        <f t="shared" si="3"/>
        <v/>
      </c>
      <c r="I9" s="5"/>
      <c r="J9" s="5" t="str">
        <f t="shared" si="4"/>
        <v/>
      </c>
      <c r="K9" s="5" t="str">
        <f t="shared" si="5"/>
        <v/>
      </c>
      <c r="L9" s="6" t="str">
        <f t="shared" si="6"/>
        <v/>
      </c>
      <c r="M9" s="7" t="str">
        <f t="shared" si="7"/>
        <v/>
      </c>
      <c r="N9" t="str">
        <f t="shared" si="8"/>
        <v/>
      </c>
      <c r="O9" t="str">
        <f t="shared" si="9"/>
        <v/>
      </c>
      <c r="P9" s="8" t="str">
        <f t="shared" si="10"/>
        <v/>
      </c>
    </row>
    <row r="10" spans="5:16">
      <c r="E10" s="5" t="str">
        <f t="shared" si="0"/>
        <v/>
      </c>
      <c r="F10" s="5" t="str">
        <f t="shared" si="1"/>
        <v/>
      </c>
      <c r="G10" s="5" t="str">
        <f t="shared" si="2"/>
        <v/>
      </c>
      <c r="H10" s="5" t="str">
        <f t="shared" si="3"/>
        <v/>
      </c>
      <c r="I10" s="5"/>
      <c r="J10" s="5" t="str">
        <f t="shared" si="4"/>
        <v/>
      </c>
      <c r="K10" s="5" t="str">
        <f t="shared" si="5"/>
        <v/>
      </c>
      <c r="L10" s="6" t="str">
        <f t="shared" si="6"/>
        <v/>
      </c>
      <c r="M10" s="7" t="str">
        <f t="shared" si="7"/>
        <v/>
      </c>
      <c r="N10" t="str">
        <f t="shared" si="8"/>
        <v/>
      </c>
      <c r="O10" t="str">
        <f t="shared" si="9"/>
        <v/>
      </c>
      <c r="P10" s="8" t="str">
        <f t="shared" si="10"/>
        <v/>
      </c>
    </row>
    <row r="11" spans="5:16">
      <c r="E11" s="5" t="str">
        <f t="shared" si="0"/>
        <v/>
      </c>
      <c r="F11" s="5" t="str">
        <f t="shared" si="1"/>
        <v/>
      </c>
      <c r="G11" s="5" t="str">
        <f t="shared" si="2"/>
        <v/>
      </c>
      <c r="H11" s="5" t="str">
        <f t="shared" si="3"/>
        <v/>
      </c>
      <c r="I11" s="5"/>
      <c r="J11" s="5" t="str">
        <f t="shared" si="4"/>
        <v/>
      </c>
      <c r="K11" s="5" t="str">
        <f t="shared" si="5"/>
        <v/>
      </c>
      <c r="L11" s="6" t="str">
        <f t="shared" si="6"/>
        <v/>
      </c>
      <c r="M11" s="7" t="str">
        <f t="shared" si="7"/>
        <v/>
      </c>
      <c r="N11" t="str">
        <f t="shared" si="8"/>
        <v/>
      </c>
      <c r="O11" t="str">
        <f t="shared" si="9"/>
        <v/>
      </c>
      <c r="P11" s="8" t="str">
        <f t="shared" si="10"/>
        <v/>
      </c>
    </row>
    <row r="12" spans="5:16">
      <c r="E12" s="5" t="str">
        <f t="shared" si="0"/>
        <v/>
      </c>
      <c r="F12" s="5" t="str">
        <f t="shared" si="1"/>
        <v/>
      </c>
      <c r="G12" s="5" t="str">
        <f t="shared" si="2"/>
        <v/>
      </c>
      <c r="H12" s="5" t="str">
        <f t="shared" si="3"/>
        <v/>
      </c>
      <c r="I12" s="5"/>
      <c r="J12" s="5" t="str">
        <f t="shared" si="4"/>
        <v/>
      </c>
      <c r="K12" s="5" t="str">
        <f t="shared" si="5"/>
        <v/>
      </c>
      <c r="L12" s="6" t="str">
        <f t="shared" si="6"/>
        <v/>
      </c>
      <c r="M12" s="7" t="str">
        <f t="shared" si="7"/>
        <v/>
      </c>
      <c r="N12" t="str">
        <f t="shared" si="8"/>
        <v/>
      </c>
      <c r="O12" t="str">
        <f t="shared" si="9"/>
        <v/>
      </c>
      <c r="P12" s="8" t="str">
        <f t="shared" si="10"/>
        <v/>
      </c>
    </row>
    <row r="13" spans="5:16">
      <c r="E13" s="5" t="str">
        <f t="shared" si="0"/>
        <v/>
      </c>
      <c r="F13" s="5" t="str">
        <f t="shared" si="1"/>
        <v/>
      </c>
      <c r="G13" s="5" t="str">
        <f t="shared" si="2"/>
        <v/>
      </c>
      <c r="H13" s="5" t="str">
        <f t="shared" si="3"/>
        <v/>
      </c>
      <c r="I13" s="5"/>
      <c r="J13" s="5" t="str">
        <f t="shared" si="4"/>
        <v/>
      </c>
      <c r="K13" s="5" t="str">
        <f t="shared" si="5"/>
        <v/>
      </c>
      <c r="L13" s="6" t="str">
        <f t="shared" si="6"/>
        <v/>
      </c>
      <c r="M13" s="7" t="str">
        <f t="shared" si="7"/>
        <v/>
      </c>
      <c r="N13" t="str">
        <f t="shared" si="8"/>
        <v/>
      </c>
      <c r="O13" t="str">
        <f t="shared" si="9"/>
        <v/>
      </c>
      <c r="P13" s="8" t="str">
        <f t="shared" si="10"/>
        <v/>
      </c>
    </row>
    <row r="14" spans="5:16">
      <c r="E14" s="5" t="str">
        <f t="shared" si="0"/>
        <v/>
      </c>
      <c r="F14" s="5" t="str">
        <f t="shared" si="1"/>
        <v/>
      </c>
      <c r="G14" s="5" t="str">
        <f t="shared" si="2"/>
        <v/>
      </c>
      <c r="H14" s="5" t="str">
        <f t="shared" si="3"/>
        <v/>
      </c>
      <c r="I14" s="5"/>
      <c r="J14" s="5" t="str">
        <f t="shared" si="4"/>
        <v/>
      </c>
      <c r="K14" s="5" t="str">
        <f t="shared" si="5"/>
        <v/>
      </c>
      <c r="L14" s="6" t="str">
        <f t="shared" si="6"/>
        <v/>
      </c>
      <c r="M14" s="7" t="str">
        <f t="shared" si="7"/>
        <v/>
      </c>
      <c r="N14" t="str">
        <f t="shared" si="8"/>
        <v/>
      </c>
      <c r="O14" t="str">
        <f t="shared" si="9"/>
        <v/>
      </c>
      <c r="P14" s="8" t="str">
        <f t="shared" si="10"/>
        <v/>
      </c>
    </row>
    <row r="15" spans="5:16">
      <c r="E15" s="5" t="str">
        <f t="shared" si="0"/>
        <v/>
      </c>
      <c r="F15" s="5" t="str">
        <f t="shared" si="1"/>
        <v/>
      </c>
      <c r="G15" s="5" t="str">
        <f t="shared" si="2"/>
        <v/>
      </c>
      <c r="H15" s="5" t="str">
        <f t="shared" si="3"/>
        <v/>
      </c>
      <c r="I15" s="5"/>
      <c r="J15" s="5" t="str">
        <f t="shared" si="4"/>
        <v/>
      </c>
      <c r="K15" s="5" t="str">
        <f t="shared" si="5"/>
        <v/>
      </c>
      <c r="L15" s="6" t="str">
        <f t="shared" si="6"/>
        <v/>
      </c>
      <c r="M15" s="7" t="str">
        <f t="shared" si="7"/>
        <v/>
      </c>
      <c r="N15" t="str">
        <f t="shared" si="8"/>
        <v/>
      </c>
      <c r="O15" t="str">
        <f t="shared" si="9"/>
        <v/>
      </c>
      <c r="P15" s="8" t="str">
        <f t="shared" si="10"/>
        <v/>
      </c>
    </row>
    <row r="16" spans="5:16">
      <c r="E16" s="5" t="str">
        <f t="shared" si="0"/>
        <v/>
      </c>
      <c r="F16" s="5" t="str">
        <f t="shared" si="1"/>
        <v/>
      </c>
      <c r="G16" s="5" t="str">
        <f t="shared" si="2"/>
        <v/>
      </c>
      <c r="H16" s="5" t="str">
        <f t="shared" si="3"/>
        <v/>
      </c>
      <c r="I16" s="5"/>
      <c r="J16" s="5" t="str">
        <f t="shared" si="4"/>
        <v/>
      </c>
      <c r="K16" s="5" t="str">
        <f t="shared" si="5"/>
        <v/>
      </c>
      <c r="L16" s="6" t="str">
        <f t="shared" si="6"/>
        <v/>
      </c>
      <c r="M16" s="7" t="str">
        <f t="shared" si="7"/>
        <v/>
      </c>
      <c r="N16" t="str">
        <f t="shared" si="8"/>
        <v/>
      </c>
      <c r="O16" t="str">
        <f t="shared" si="9"/>
        <v/>
      </c>
      <c r="P16" s="8" t="str">
        <f t="shared" si="10"/>
        <v/>
      </c>
    </row>
    <row r="17" spans="5:16">
      <c r="E17" s="5" t="str">
        <f t="shared" si="0"/>
        <v/>
      </c>
      <c r="F17" s="5" t="str">
        <f t="shared" si="1"/>
        <v/>
      </c>
      <c r="G17" s="5" t="str">
        <f t="shared" si="2"/>
        <v/>
      </c>
      <c r="H17" s="5" t="str">
        <f t="shared" si="3"/>
        <v/>
      </c>
      <c r="I17" s="5"/>
      <c r="J17" s="5" t="str">
        <f t="shared" si="4"/>
        <v/>
      </c>
      <c r="K17" s="5" t="str">
        <f t="shared" si="5"/>
        <v/>
      </c>
      <c r="L17" s="6" t="str">
        <f t="shared" si="6"/>
        <v/>
      </c>
      <c r="M17" s="7" t="str">
        <f t="shared" si="7"/>
        <v/>
      </c>
      <c r="N17" t="str">
        <f t="shared" si="8"/>
        <v/>
      </c>
      <c r="O17" t="str">
        <f t="shared" si="9"/>
        <v/>
      </c>
      <c r="P17" s="8" t="str">
        <f t="shared" si="10"/>
        <v/>
      </c>
    </row>
    <row r="18" spans="5:16">
      <c r="E18" s="5" t="str">
        <f t="shared" si="0"/>
        <v/>
      </c>
      <c r="F18" s="5" t="str">
        <f t="shared" si="1"/>
        <v/>
      </c>
      <c r="G18" s="5" t="str">
        <f t="shared" si="2"/>
        <v/>
      </c>
      <c r="H18" s="5" t="str">
        <f t="shared" si="3"/>
        <v/>
      </c>
      <c r="I18" s="5"/>
      <c r="J18" s="5" t="str">
        <f t="shared" si="4"/>
        <v/>
      </c>
      <c r="K18" s="5" t="str">
        <f t="shared" si="5"/>
        <v/>
      </c>
      <c r="L18" s="6" t="str">
        <f t="shared" si="6"/>
        <v/>
      </c>
      <c r="M18" s="7" t="str">
        <f t="shared" si="7"/>
        <v/>
      </c>
      <c r="N18" t="str">
        <f t="shared" si="8"/>
        <v/>
      </c>
      <c r="O18" t="str">
        <f t="shared" si="9"/>
        <v/>
      </c>
      <c r="P18" s="8" t="str">
        <f t="shared" si="10"/>
        <v/>
      </c>
    </row>
    <row r="19" spans="5:16">
      <c r="E19" s="5" t="str">
        <f t="shared" si="0"/>
        <v/>
      </c>
      <c r="F19" s="5" t="str">
        <f t="shared" si="1"/>
        <v/>
      </c>
      <c r="G19" s="5" t="str">
        <f t="shared" si="2"/>
        <v/>
      </c>
      <c r="H19" s="5" t="str">
        <f t="shared" si="3"/>
        <v/>
      </c>
      <c r="I19" s="5"/>
      <c r="J19" s="5" t="str">
        <f t="shared" si="4"/>
        <v/>
      </c>
      <c r="K19" s="5" t="str">
        <f t="shared" si="5"/>
        <v/>
      </c>
      <c r="L19" s="6" t="str">
        <f t="shared" si="6"/>
        <v/>
      </c>
      <c r="M19" s="7" t="str">
        <f t="shared" si="7"/>
        <v/>
      </c>
      <c r="N19" t="str">
        <f t="shared" si="8"/>
        <v/>
      </c>
      <c r="O19" t="str">
        <f t="shared" si="9"/>
        <v/>
      </c>
      <c r="P19" s="8" t="str">
        <f t="shared" si="10"/>
        <v/>
      </c>
    </row>
    <row r="20" spans="5:16">
      <c r="E20" s="5" t="str">
        <f t="shared" si="0"/>
        <v/>
      </c>
      <c r="F20" s="5" t="str">
        <f t="shared" si="1"/>
        <v/>
      </c>
      <c r="G20" s="5" t="str">
        <f t="shared" si="2"/>
        <v/>
      </c>
      <c r="H20" s="5" t="str">
        <f t="shared" si="3"/>
        <v/>
      </c>
      <c r="I20" s="5"/>
      <c r="J20" s="5" t="str">
        <f t="shared" si="4"/>
        <v/>
      </c>
      <c r="K20" s="5" t="str">
        <f t="shared" si="5"/>
        <v/>
      </c>
      <c r="L20" s="6" t="str">
        <f t="shared" si="6"/>
        <v/>
      </c>
      <c r="M20" s="7" t="str">
        <f t="shared" si="7"/>
        <v/>
      </c>
      <c r="N20" t="str">
        <f t="shared" si="8"/>
        <v/>
      </c>
      <c r="O20" t="str">
        <f t="shared" si="9"/>
        <v/>
      </c>
      <c r="P20" s="8" t="str">
        <f t="shared" si="10"/>
        <v/>
      </c>
    </row>
    <row r="21" spans="5:16">
      <c r="E21" s="5" t="str">
        <f t="shared" si="0"/>
        <v/>
      </c>
      <c r="F21" s="5" t="str">
        <f t="shared" si="1"/>
        <v/>
      </c>
      <c r="G21" s="5" t="str">
        <f t="shared" si="2"/>
        <v/>
      </c>
      <c r="H21" s="5" t="str">
        <f t="shared" si="3"/>
        <v/>
      </c>
      <c r="I21" s="5"/>
      <c r="J21" s="5" t="str">
        <f t="shared" si="4"/>
        <v/>
      </c>
      <c r="K21" s="5" t="str">
        <f t="shared" si="5"/>
        <v/>
      </c>
      <c r="L21" s="6" t="str">
        <f t="shared" si="6"/>
        <v/>
      </c>
      <c r="M21" s="7" t="str">
        <f t="shared" si="7"/>
        <v/>
      </c>
      <c r="N21" t="str">
        <f t="shared" si="8"/>
        <v/>
      </c>
      <c r="O21" t="str">
        <f t="shared" si="9"/>
        <v/>
      </c>
      <c r="P21" s="8" t="str">
        <f t="shared" si="10"/>
        <v/>
      </c>
    </row>
    <row r="22" spans="5:16">
      <c r="E22" s="5" t="str">
        <f t="shared" si="0"/>
        <v/>
      </c>
      <c r="F22" s="5" t="str">
        <f t="shared" si="1"/>
        <v/>
      </c>
      <c r="G22" s="5" t="str">
        <f t="shared" si="2"/>
        <v/>
      </c>
      <c r="H22" s="5" t="str">
        <f t="shared" si="3"/>
        <v/>
      </c>
      <c r="I22" s="5"/>
      <c r="J22" s="5" t="str">
        <f t="shared" si="4"/>
        <v/>
      </c>
      <c r="K22" s="5" t="str">
        <f t="shared" si="5"/>
        <v/>
      </c>
      <c r="L22" s="6" t="str">
        <f t="shared" si="6"/>
        <v/>
      </c>
      <c r="M22" s="7" t="str">
        <f t="shared" si="7"/>
        <v/>
      </c>
      <c r="N22" t="str">
        <f t="shared" si="8"/>
        <v/>
      </c>
      <c r="O22" t="str">
        <f t="shared" si="9"/>
        <v/>
      </c>
      <c r="P22" s="8" t="str">
        <f t="shared" si="10"/>
        <v/>
      </c>
    </row>
    <row r="23" spans="5:16">
      <c r="E23" s="5" t="str">
        <f t="shared" si="0"/>
        <v/>
      </c>
      <c r="F23" s="5" t="str">
        <f t="shared" si="1"/>
        <v/>
      </c>
      <c r="G23" s="5" t="str">
        <f t="shared" si="2"/>
        <v/>
      </c>
      <c r="H23" s="5" t="str">
        <f t="shared" si="3"/>
        <v/>
      </c>
      <c r="I23" s="5"/>
      <c r="J23" s="5" t="str">
        <f t="shared" si="4"/>
        <v/>
      </c>
      <c r="K23" s="5" t="str">
        <f t="shared" si="5"/>
        <v/>
      </c>
      <c r="L23" s="6" t="str">
        <f t="shared" si="6"/>
        <v/>
      </c>
      <c r="M23" s="7" t="str">
        <f t="shared" si="7"/>
        <v/>
      </c>
      <c r="N23" t="str">
        <f t="shared" si="8"/>
        <v/>
      </c>
      <c r="O23" t="str">
        <f t="shared" si="9"/>
        <v/>
      </c>
      <c r="P23" s="8" t="str">
        <f t="shared" si="10"/>
        <v/>
      </c>
    </row>
    <row r="24" spans="5:16">
      <c r="E24" s="5" t="str">
        <f t="shared" si="0"/>
        <v/>
      </c>
      <c r="F24" s="5" t="str">
        <f t="shared" si="1"/>
        <v/>
      </c>
      <c r="G24" s="5" t="str">
        <f t="shared" si="2"/>
        <v/>
      </c>
      <c r="H24" s="5" t="str">
        <f t="shared" si="3"/>
        <v/>
      </c>
      <c r="I24" s="5"/>
      <c r="J24" s="5" t="str">
        <f t="shared" si="4"/>
        <v/>
      </c>
      <c r="K24" s="5" t="str">
        <f t="shared" si="5"/>
        <v/>
      </c>
      <c r="L24" s="6" t="str">
        <f t="shared" si="6"/>
        <v/>
      </c>
      <c r="M24" s="7" t="str">
        <f t="shared" si="7"/>
        <v/>
      </c>
      <c r="N24" t="str">
        <f t="shared" si="8"/>
        <v/>
      </c>
      <c r="O24" t="str">
        <f t="shared" si="9"/>
        <v/>
      </c>
      <c r="P24" s="8" t="str">
        <f t="shared" si="10"/>
        <v/>
      </c>
    </row>
    <row r="25" spans="5:16">
      <c r="E25" s="5" t="str">
        <f t="shared" si="0"/>
        <v/>
      </c>
      <c r="F25" s="5" t="str">
        <f t="shared" si="1"/>
        <v/>
      </c>
      <c r="G25" s="5" t="str">
        <f t="shared" si="2"/>
        <v/>
      </c>
      <c r="H25" s="5" t="str">
        <f t="shared" si="3"/>
        <v/>
      </c>
      <c r="I25" s="5"/>
      <c r="J25" s="5" t="str">
        <f t="shared" si="4"/>
        <v/>
      </c>
      <c r="K25" s="5" t="str">
        <f t="shared" si="5"/>
        <v/>
      </c>
      <c r="L25" s="6" t="str">
        <f t="shared" si="6"/>
        <v/>
      </c>
      <c r="M25" s="7" t="str">
        <f t="shared" si="7"/>
        <v/>
      </c>
      <c r="N25" t="str">
        <f t="shared" si="8"/>
        <v/>
      </c>
      <c r="O25" t="str">
        <f t="shared" si="9"/>
        <v/>
      </c>
      <c r="P25" s="8" t="str">
        <f t="shared" si="10"/>
        <v/>
      </c>
    </row>
    <row r="26" spans="5:16">
      <c r="E26" s="5" t="str">
        <f t="shared" si="0"/>
        <v/>
      </c>
      <c r="F26" s="5" t="str">
        <f t="shared" si="1"/>
        <v/>
      </c>
      <c r="G26" s="5" t="str">
        <f t="shared" si="2"/>
        <v/>
      </c>
      <c r="H26" s="5" t="str">
        <f t="shared" si="3"/>
        <v/>
      </c>
      <c r="I26" s="5"/>
      <c r="J26" s="5" t="str">
        <f t="shared" si="4"/>
        <v/>
      </c>
      <c r="K26" s="5" t="str">
        <f t="shared" si="5"/>
        <v/>
      </c>
      <c r="L26" s="6" t="str">
        <f t="shared" si="6"/>
        <v/>
      </c>
      <c r="M26" s="7" t="str">
        <f t="shared" si="7"/>
        <v/>
      </c>
      <c r="N26" t="str">
        <f t="shared" si="8"/>
        <v/>
      </c>
      <c r="O26" t="str">
        <f t="shared" si="9"/>
        <v/>
      </c>
      <c r="P26" s="8" t="str">
        <f t="shared" si="10"/>
        <v/>
      </c>
    </row>
    <row r="27" spans="5:16">
      <c r="E27" s="5" t="str">
        <f t="shared" si="0"/>
        <v/>
      </c>
      <c r="F27" s="5" t="str">
        <f t="shared" si="1"/>
        <v/>
      </c>
      <c r="G27" s="5" t="str">
        <f t="shared" si="2"/>
        <v/>
      </c>
      <c r="H27" s="5" t="str">
        <f t="shared" si="3"/>
        <v/>
      </c>
      <c r="I27" s="5"/>
      <c r="J27" s="5" t="str">
        <f t="shared" si="4"/>
        <v/>
      </c>
      <c r="K27" s="5" t="str">
        <f t="shared" si="5"/>
        <v/>
      </c>
      <c r="L27" s="6" t="str">
        <f t="shared" si="6"/>
        <v/>
      </c>
      <c r="M27" s="7" t="str">
        <f t="shared" si="7"/>
        <v/>
      </c>
      <c r="N27" t="str">
        <f t="shared" si="8"/>
        <v/>
      </c>
      <c r="O27" t="str">
        <f t="shared" si="9"/>
        <v/>
      </c>
      <c r="P27" s="8" t="str">
        <f t="shared" si="10"/>
        <v/>
      </c>
    </row>
    <row r="28" spans="5:16">
      <c r="E28" s="5" t="str">
        <f t="shared" si="0"/>
        <v/>
      </c>
      <c r="F28" s="5" t="str">
        <f t="shared" si="1"/>
        <v/>
      </c>
      <c r="G28" s="5" t="str">
        <f t="shared" si="2"/>
        <v/>
      </c>
      <c r="H28" s="5" t="str">
        <f t="shared" si="3"/>
        <v/>
      </c>
      <c r="I28" s="5"/>
      <c r="J28" s="5" t="str">
        <f t="shared" si="4"/>
        <v/>
      </c>
      <c r="K28" s="5" t="str">
        <f t="shared" si="5"/>
        <v/>
      </c>
      <c r="L28" s="6" t="str">
        <f t="shared" si="6"/>
        <v/>
      </c>
      <c r="M28" s="7" t="str">
        <f t="shared" si="7"/>
        <v/>
      </c>
      <c r="N28" t="str">
        <f t="shared" si="8"/>
        <v/>
      </c>
      <c r="O28" t="str">
        <f t="shared" si="9"/>
        <v/>
      </c>
      <c r="P28" s="8" t="str">
        <f t="shared" si="10"/>
        <v/>
      </c>
    </row>
    <row r="29" spans="5:16">
      <c r="E29" s="5" t="str">
        <f t="shared" si="0"/>
        <v/>
      </c>
      <c r="F29" s="5" t="str">
        <f t="shared" si="1"/>
        <v/>
      </c>
      <c r="G29" s="5" t="str">
        <f t="shared" si="2"/>
        <v/>
      </c>
      <c r="H29" s="5" t="str">
        <f t="shared" si="3"/>
        <v/>
      </c>
      <c r="I29" s="5"/>
      <c r="J29" s="5" t="str">
        <f t="shared" si="4"/>
        <v/>
      </c>
      <c r="K29" s="5" t="str">
        <f t="shared" si="5"/>
        <v/>
      </c>
      <c r="L29" s="6" t="str">
        <f t="shared" si="6"/>
        <v/>
      </c>
      <c r="M29" s="7" t="str">
        <f t="shared" si="7"/>
        <v/>
      </c>
      <c r="N29" t="str">
        <f t="shared" si="8"/>
        <v/>
      </c>
      <c r="O29" t="str">
        <f t="shared" si="9"/>
        <v/>
      </c>
      <c r="P29" s="8" t="str">
        <f t="shared" si="10"/>
        <v/>
      </c>
    </row>
    <row r="30" spans="5:16">
      <c r="E30" s="5" t="str">
        <f t="shared" si="0"/>
        <v/>
      </c>
      <c r="F30" s="5" t="str">
        <f t="shared" si="1"/>
        <v/>
      </c>
      <c r="G30" s="5" t="str">
        <f t="shared" si="2"/>
        <v/>
      </c>
      <c r="H30" s="5" t="str">
        <f t="shared" si="3"/>
        <v/>
      </c>
      <c r="I30" s="5"/>
      <c r="J30" s="5" t="str">
        <f t="shared" si="4"/>
        <v/>
      </c>
      <c r="K30" s="5" t="str">
        <f t="shared" si="5"/>
        <v/>
      </c>
      <c r="L30" s="6" t="str">
        <f t="shared" si="6"/>
        <v/>
      </c>
      <c r="M30" s="7" t="str">
        <f t="shared" si="7"/>
        <v/>
      </c>
      <c r="N30" t="str">
        <f t="shared" si="8"/>
        <v/>
      </c>
      <c r="O30" t="str">
        <f t="shared" si="9"/>
        <v/>
      </c>
      <c r="P30" s="8" t="str">
        <f t="shared" si="10"/>
        <v/>
      </c>
    </row>
    <row r="31" spans="5:16">
      <c r="E31" s="5" t="str">
        <f t="shared" si="0"/>
        <v/>
      </c>
      <c r="F31" s="5" t="str">
        <f t="shared" si="1"/>
        <v/>
      </c>
      <c r="G31" s="5" t="str">
        <f t="shared" si="2"/>
        <v/>
      </c>
      <c r="H31" s="5" t="str">
        <f t="shared" si="3"/>
        <v/>
      </c>
      <c r="I31" s="5"/>
      <c r="J31" s="5" t="str">
        <f t="shared" si="4"/>
        <v/>
      </c>
      <c r="K31" s="5" t="str">
        <f t="shared" si="5"/>
        <v/>
      </c>
      <c r="L31" s="6" t="str">
        <f t="shared" si="6"/>
        <v/>
      </c>
      <c r="M31" s="7" t="str">
        <f t="shared" si="7"/>
        <v/>
      </c>
      <c r="N31" t="str">
        <f t="shared" si="8"/>
        <v/>
      </c>
      <c r="O31" t="str">
        <f t="shared" si="9"/>
        <v/>
      </c>
      <c r="P31" s="8" t="str">
        <f t="shared" si="10"/>
        <v/>
      </c>
    </row>
    <row r="32" spans="5:16">
      <c r="E32" s="5" t="str">
        <f t="shared" si="0"/>
        <v/>
      </c>
      <c r="F32" s="5" t="str">
        <f t="shared" si="1"/>
        <v/>
      </c>
      <c r="G32" s="5" t="str">
        <f t="shared" si="2"/>
        <v/>
      </c>
      <c r="H32" s="5" t="str">
        <f t="shared" si="3"/>
        <v/>
      </c>
      <c r="I32" s="5"/>
      <c r="J32" s="5" t="str">
        <f t="shared" si="4"/>
        <v/>
      </c>
      <c r="K32" s="5" t="str">
        <f t="shared" si="5"/>
        <v/>
      </c>
      <c r="L32" s="6" t="str">
        <f t="shared" si="6"/>
        <v/>
      </c>
      <c r="M32" s="7" t="str">
        <f t="shared" si="7"/>
        <v/>
      </c>
      <c r="N32" t="str">
        <f t="shared" si="8"/>
        <v/>
      </c>
      <c r="O32" t="str">
        <f t="shared" si="9"/>
        <v/>
      </c>
      <c r="P32" s="8" t="str">
        <f t="shared" si="10"/>
        <v/>
      </c>
    </row>
    <row r="33" spans="5:16">
      <c r="E33" s="5" t="str">
        <f t="shared" si="0"/>
        <v/>
      </c>
      <c r="F33" s="5" t="str">
        <f t="shared" si="1"/>
        <v/>
      </c>
      <c r="G33" s="5" t="str">
        <f t="shared" si="2"/>
        <v/>
      </c>
      <c r="H33" s="5" t="str">
        <f t="shared" si="3"/>
        <v/>
      </c>
      <c r="I33" s="5"/>
      <c r="J33" s="5" t="str">
        <f t="shared" si="4"/>
        <v/>
      </c>
      <c r="K33" s="5" t="str">
        <f t="shared" si="5"/>
        <v/>
      </c>
      <c r="L33" s="6" t="str">
        <f t="shared" si="6"/>
        <v/>
      </c>
      <c r="M33" s="7" t="str">
        <f t="shared" si="7"/>
        <v/>
      </c>
      <c r="N33" t="str">
        <f t="shared" si="8"/>
        <v/>
      </c>
      <c r="O33" t="str">
        <f t="shared" si="9"/>
        <v/>
      </c>
      <c r="P33" s="8" t="str">
        <f t="shared" si="10"/>
        <v/>
      </c>
    </row>
    <row r="34" spans="5:16">
      <c r="E34" s="5" t="str">
        <f t="shared" si="0"/>
        <v/>
      </c>
      <c r="F34" s="5" t="str">
        <f t="shared" si="1"/>
        <v/>
      </c>
      <c r="G34" s="5" t="str">
        <f t="shared" si="2"/>
        <v/>
      </c>
      <c r="H34" s="5" t="str">
        <f t="shared" si="3"/>
        <v/>
      </c>
      <c r="I34" s="5"/>
      <c r="J34" s="5" t="str">
        <f t="shared" si="4"/>
        <v/>
      </c>
      <c r="K34" s="5" t="str">
        <f t="shared" si="5"/>
        <v/>
      </c>
      <c r="L34" s="6" t="str">
        <f t="shared" si="6"/>
        <v/>
      </c>
      <c r="M34" s="7" t="str">
        <f t="shared" si="7"/>
        <v/>
      </c>
      <c r="N34" t="str">
        <f t="shared" si="8"/>
        <v/>
      </c>
      <c r="O34" t="str">
        <f t="shared" si="9"/>
        <v/>
      </c>
      <c r="P34" s="8" t="str">
        <f t="shared" si="10"/>
        <v/>
      </c>
    </row>
    <row r="35" spans="5:16">
      <c r="E35" s="5" t="str">
        <f t="shared" si="0"/>
        <v/>
      </c>
      <c r="F35" s="5" t="str">
        <f t="shared" si="1"/>
        <v/>
      </c>
      <c r="G35" s="5" t="str">
        <f t="shared" si="2"/>
        <v/>
      </c>
      <c r="H35" s="5" t="str">
        <f t="shared" si="3"/>
        <v/>
      </c>
      <c r="I35" s="5"/>
      <c r="J35" s="5" t="str">
        <f t="shared" si="4"/>
        <v/>
      </c>
      <c r="K35" s="5" t="str">
        <f t="shared" si="5"/>
        <v/>
      </c>
      <c r="L35" s="6" t="str">
        <f t="shared" si="6"/>
        <v/>
      </c>
      <c r="M35" s="7" t="str">
        <f t="shared" si="7"/>
        <v/>
      </c>
      <c r="N35" t="str">
        <f t="shared" si="8"/>
        <v/>
      </c>
      <c r="O35" t="str">
        <f t="shared" si="9"/>
        <v/>
      </c>
      <c r="P35" s="8" t="str">
        <f t="shared" si="10"/>
        <v/>
      </c>
    </row>
    <row r="36" spans="5:16">
      <c r="E36" s="5" t="str">
        <f t="shared" si="0"/>
        <v/>
      </c>
      <c r="F36" s="5" t="str">
        <f t="shared" si="1"/>
        <v/>
      </c>
      <c r="G36" s="5" t="str">
        <f t="shared" si="2"/>
        <v/>
      </c>
      <c r="H36" s="5" t="str">
        <f t="shared" si="3"/>
        <v/>
      </c>
      <c r="I36" s="5"/>
      <c r="J36" s="5" t="str">
        <f t="shared" si="4"/>
        <v/>
      </c>
      <c r="K36" s="5" t="str">
        <f t="shared" si="5"/>
        <v/>
      </c>
      <c r="L36" s="6" t="str">
        <f t="shared" si="6"/>
        <v/>
      </c>
      <c r="M36" s="7" t="str">
        <f t="shared" si="7"/>
        <v/>
      </c>
      <c r="N36" t="str">
        <f t="shared" si="8"/>
        <v/>
      </c>
      <c r="O36" t="str">
        <f t="shared" si="9"/>
        <v/>
      </c>
      <c r="P36" s="8" t="str">
        <f t="shared" si="10"/>
        <v/>
      </c>
    </row>
    <row r="37" spans="5:16">
      <c r="E37" s="5" t="str">
        <f t="shared" si="0"/>
        <v/>
      </c>
      <c r="F37" s="5" t="str">
        <f t="shared" si="1"/>
        <v/>
      </c>
      <c r="G37" s="5" t="str">
        <f t="shared" si="2"/>
        <v/>
      </c>
      <c r="H37" s="5" t="str">
        <f t="shared" si="3"/>
        <v/>
      </c>
      <c r="I37" s="5"/>
      <c r="J37" s="5" t="str">
        <f t="shared" si="4"/>
        <v/>
      </c>
      <c r="K37" s="5" t="str">
        <f t="shared" si="5"/>
        <v/>
      </c>
      <c r="L37" s="6" t="str">
        <f t="shared" si="6"/>
        <v/>
      </c>
      <c r="M37" s="7" t="str">
        <f t="shared" si="7"/>
        <v/>
      </c>
      <c r="N37" t="str">
        <f t="shared" si="8"/>
        <v/>
      </c>
      <c r="O37" t="str">
        <f t="shared" si="9"/>
        <v/>
      </c>
      <c r="P37" s="8" t="str">
        <f t="shared" si="10"/>
        <v/>
      </c>
    </row>
    <row r="38" spans="5:16">
      <c r="E38" s="5" t="str">
        <f t="shared" si="0"/>
        <v/>
      </c>
      <c r="F38" s="5" t="str">
        <f t="shared" si="1"/>
        <v/>
      </c>
      <c r="G38" s="5" t="str">
        <f t="shared" si="2"/>
        <v/>
      </c>
      <c r="H38" s="5" t="str">
        <f t="shared" si="3"/>
        <v/>
      </c>
      <c r="I38" s="5"/>
      <c r="J38" s="5" t="str">
        <f t="shared" si="4"/>
        <v/>
      </c>
      <c r="K38" s="5" t="str">
        <f t="shared" si="5"/>
        <v/>
      </c>
      <c r="L38" s="6" t="str">
        <f t="shared" si="6"/>
        <v/>
      </c>
      <c r="M38" s="7" t="str">
        <f t="shared" si="7"/>
        <v/>
      </c>
      <c r="N38" t="str">
        <f t="shared" si="8"/>
        <v/>
      </c>
      <c r="O38" t="str">
        <f t="shared" si="9"/>
        <v/>
      </c>
      <c r="P38" s="8" t="str">
        <f t="shared" si="10"/>
        <v/>
      </c>
    </row>
    <row r="39" spans="5:16">
      <c r="E39" s="5" t="str">
        <f t="shared" si="0"/>
        <v/>
      </c>
      <c r="F39" s="5" t="str">
        <f t="shared" si="1"/>
        <v/>
      </c>
      <c r="G39" s="5" t="str">
        <f t="shared" si="2"/>
        <v/>
      </c>
      <c r="H39" s="5" t="str">
        <f t="shared" si="3"/>
        <v/>
      </c>
      <c r="I39" s="5"/>
      <c r="J39" s="5" t="str">
        <f t="shared" si="4"/>
        <v/>
      </c>
      <c r="K39" s="5" t="str">
        <f t="shared" si="5"/>
        <v/>
      </c>
      <c r="L39" s="6" t="str">
        <f t="shared" si="6"/>
        <v/>
      </c>
      <c r="M39" s="7" t="str">
        <f t="shared" si="7"/>
        <v/>
      </c>
      <c r="N39" t="str">
        <f t="shared" si="8"/>
        <v/>
      </c>
      <c r="O39" t="str">
        <f t="shared" si="9"/>
        <v/>
      </c>
      <c r="P39" s="8" t="str">
        <f t="shared" si="10"/>
        <v/>
      </c>
    </row>
    <row r="40" spans="5:16">
      <c r="E40" s="5" t="str">
        <f t="shared" si="0"/>
        <v/>
      </c>
      <c r="F40" s="5" t="str">
        <f t="shared" si="1"/>
        <v/>
      </c>
      <c r="G40" s="5" t="str">
        <f t="shared" si="2"/>
        <v/>
      </c>
      <c r="H40" s="5" t="str">
        <f t="shared" si="3"/>
        <v/>
      </c>
      <c r="I40" s="5"/>
      <c r="J40" s="5" t="str">
        <f t="shared" si="4"/>
        <v/>
      </c>
      <c r="K40" s="5" t="str">
        <f t="shared" si="5"/>
        <v/>
      </c>
      <c r="L40" s="6" t="str">
        <f t="shared" si="6"/>
        <v/>
      </c>
      <c r="M40" s="7" t="str">
        <f t="shared" si="7"/>
        <v/>
      </c>
      <c r="N40" t="str">
        <f t="shared" si="8"/>
        <v/>
      </c>
      <c r="O40" t="str">
        <f t="shared" si="9"/>
        <v/>
      </c>
      <c r="P40" s="8" t="str">
        <f t="shared" si="10"/>
        <v/>
      </c>
    </row>
    <row r="41" spans="5:16">
      <c r="E41" s="5" t="str">
        <f t="shared" si="0"/>
        <v/>
      </c>
      <c r="F41" s="5" t="str">
        <f t="shared" si="1"/>
        <v/>
      </c>
      <c r="G41" s="5" t="str">
        <f t="shared" si="2"/>
        <v/>
      </c>
      <c r="H41" s="5" t="str">
        <f t="shared" si="3"/>
        <v/>
      </c>
      <c r="I41" s="5"/>
      <c r="J41" s="5" t="str">
        <f t="shared" si="4"/>
        <v/>
      </c>
      <c r="K41" s="5" t="str">
        <f t="shared" si="5"/>
        <v/>
      </c>
      <c r="L41" s="6" t="str">
        <f t="shared" si="6"/>
        <v/>
      </c>
      <c r="M41" s="7" t="str">
        <f t="shared" si="7"/>
        <v/>
      </c>
      <c r="N41" t="str">
        <f t="shared" si="8"/>
        <v/>
      </c>
      <c r="O41" t="str">
        <f t="shared" si="9"/>
        <v/>
      </c>
      <c r="P41" s="8" t="str">
        <f t="shared" si="10"/>
        <v/>
      </c>
    </row>
    <row r="42" spans="5:16">
      <c r="E42" s="5" t="str">
        <f t="shared" si="0"/>
        <v/>
      </c>
      <c r="F42" s="5" t="str">
        <f t="shared" si="1"/>
        <v/>
      </c>
      <c r="G42" s="5" t="str">
        <f t="shared" si="2"/>
        <v/>
      </c>
      <c r="H42" s="5" t="str">
        <f t="shared" si="3"/>
        <v/>
      </c>
      <c r="I42" s="5"/>
      <c r="J42" s="5" t="str">
        <f t="shared" si="4"/>
        <v/>
      </c>
      <c r="K42" s="5" t="str">
        <f t="shared" si="5"/>
        <v/>
      </c>
      <c r="L42" s="6" t="str">
        <f t="shared" si="6"/>
        <v/>
      </c>
      <c r="M42" s="7" t="str">
        <f t="shared" si="7"/>
        <v/>
      </c>
      <c r="N42" t="str">
        <f t="shared" si="8"/>
        <v/>
      </c>
      <c r="O42" t="str">
        <f t="shared" si="9"/>
        <v/>
      </c>
      <c r="P42" s="8" t="str">
        <f t="shared" si="10"/>
        <v/>
      </c>
    </row>
    <row r="43" spans="5:16">
      <c r="E43" s="5" t="str">
        <f t="shared" si="0"/>
        <v/>
      </c>
      <c r="F43" s="5" t="str">
        <f t="shared" si="1"/>
        <v/>
      </c>
      <c r="G43" s="5" t="str">
        <f t="shared" si="2"/>
        <v/>
      </c>
      <c r="H43" s="5" t="str">
        <f t="shared" si="3"/>
        <v/>
      </c>
      <c r="I43" s="5"/>
      <c r="J43" s="5" t="str">
        <f t="shared" si="4"/>
        <v/>
      </c>
      <c r="K43" s="5" t="str">
        <f t="shared" si="5"/>
        <v/>
      </c>
      <c r="L43" s="6" t="str">
        <f t="shared" si="6"/>
        <v/>
      </c>
      <c r="M43" s="7" t="str">
        <f t="shared" si="7"/>
        <v/>
      </c>
      <c r="N43" t="str">
        <f t="shared" si="8"/>
        <v/>
      </c>
      <c r="O43" t="str">
        <f t="shared" si="9"/>
        <v/>
      </c>
      <c r="P43" s="8" t="str">
        <f t="shared" si="10"/>
        <v/>
      </c>
    </row>
    <row r="44" spans="5:16">
      <c r="E44" s="5" t="str">
        <f t="shared" si="0"/>
        <v/>
      </c>
      <c r="F44" s="5" t="str">
        <f t="shared" si="1"/>
        <v/>
      </c>
      <c r="G44" s="5" t="str">
        <f t="shared" si="2"/>
        <v/>
      </c>
      <c r="H44" s="5" t="str">
        <f t="shared" si="3"/>
        <v/>
      </c>
      <c r="I44" s="5"/>
      <c r="J44" s="5" t="str">
        <f t="shared" si="4"/>
        <v/>
      </c>
      <c r="K44" s="5" t="str">
        <f t="shared" si="5"/>
        <v/>
      </c>
      <c r="L44" s="6" t="str">
        <f t="shared" si="6"/>
        <v/>
      </c>
      <c r="M44" s="7" t="str">
        <f t="shared" si="7"/>
        <v/>
      </c>
      <c r="N44" t="str">
        <f t="shared" si="8"/>
        <v/>
      </c>
      <c r="O44" t="str">
        <f t="shared" si="9"/>
        <v/>
      </c>
      <c r="P44" s="8" t="str">
        <f t="shared" si="10"/>
        <v/>
      </c>
    </row>
    <row r="45" spans="5:16">
      <c r="E45" s="5" t="str">
        <f t="shared" si="0"/>
        <v/>
      </c>
      <c r="F45" s="5" t="str">
        <f t="shared" si="1"/>
        <v/>
      </c>
      <c r="G45" s="5" t="str">
        <f t="shared" si="2"/>
        <v/>
      </c>
      <c r="H45" s="5" t="str">
        <f t="shared" si="3"/>
        <v/>
      </c>
      <c r="I45" s="5"/>
      <c r="J45" s="5" t="str">
        <f t="shared" si="4"/>
        <v/>
      </c>
      <c r="K45" s="5" t="str">
        <f t="shared" si="5"/>
        <v/>
      </c>
      <c r="L45" s="6" t="str">
        <f t="shared" si="6"/>
        <v/>
      </c>
      <c r="M45" s="7" t="str">
        <f t="shared" si="7"/>
        <v/>
      </c>
      <c r="N45" t="str">
        <f t="shared" si="8"/>
        <v/>
      </c>
      <c r="O45" t="str">
        <f t="shared" si="9"/>
        <v/>
      </c>
      <c r="P45" s="8" t="str">
        <f t="shared" si="10"/>
        <v/>
      </c>
    </row>
    <row r="46" spans="5:16">
      <c r="E46" s="5" t="str">
        <f t="shared" si="0"/>
        <v/>
      </c>
      <c r="F46" s="5" t="str">
        <f t="shared" si="1"/>
        <v/>
      </c>
      <c r="G46" s="5" t="str">
        <f t="shared" si="2"/>
        <v/>
      </c>
      <c r="H46" s="5" t="str">
        <f t="shared" si="3"/>
        <v/>
      </c>
      <c r="I46" s="5"/>
      <c r="J46" s="5" t="str">
        <f t="shared" si="4"/>
        <v/>
      </c>
      <c r="K46" s="5" t="str">
        <f t="shared" si="5"/>
        <v/>
      </c>
      <c r="L46" s="6" t="str">
        <f t="shared" si="6"/>
        <v/>
      </c>
      <c r="M46" s="7" t="str">
        <f t="shared" si="7"/>
        <v/>
      </c>
      <c r="N46" t="str">
        <f t="shared" si="8"/>
        <v/>
      </c>
      <c r="O46" t="str">
        <f t="shared" si="9"/>
        <v/>
      </c>
      <c r="P46" s="8" t="str">
        <f t="shared" si="10"/>
        <v/>
      </c>
    </row>
    <row r="47" spans="5:16">
      <c r="E47" s="5" t="str">
        <f t="shared" si="0"/>
        <v/>
      </c>
      <c r="F47" s="5" t="str">
        <f t="shared" si="1"/>
        <v/>
      </c>
      <c r="G47" s="5" t="str">
        <f t="shared" si="2"/>
        <v/>
      </c>
      <c r="H47" s="5" t="str">
        <f t="shared" si="3"/>
        <v/>
      </c>
      <c r="I47" s="5"/>
      <c r="J47" s="5" t="str">
        <f t="shared" si="4"/>
        <v/>
      </c>
      <c r="K47" s="5" t="str">
        <f t="shared" si="5"/>
        <v/>
      </c>
      <c r="L47" s="6" t="str">
        <f t="shared" si="6"/>
        <v/>
      </c>
      <c r="M47" s="7" t="str">
        <f t="shared" si="7"/>
        <v/>
      </c>
      <c r="N47" t="str">
        <f t="shared" si="8"/>
        <v/>
      </c>
      <c r="O47" t="str">
        <f t="shared" si="9"/>
        <v/>
      </c>
      <c r="P47" s="8" t="str">
        <f t="shared" si="10"/>
        <v/>
      </c>
    </row>
    <row r="48" spans="5:16">
      <c r="E48" s="5" t="str">
        <f t="shared" si="0"/>
        <v/>
      </c>
      <c r="F48" s="5" t="str">
        <f t="shared" si="1"/>
        <v/>
      </c>
      <c r="G48" s="5" t="str">
        <f t="shared" si="2"/>
        <v/>
      </c>
      <c r="H48" s="5" t="str">
        <f t="shared" si="3"/>
        <v/>
      </c>
      <c r="I48" s="5"/>
      <c r="J48" s="5" t="str">
        <f t="shared" si="4"/>
        <v/>
      </c>
      <c r="K48" s="5" t="str">
        <f t="shared" si="5"/>
        <v/>
      </c>
      <c r="L48" s="6" t="str">
        <f t="shared" si="6"/>
        <v/>
      </c>
      <c r="M48" s="7" t="str">
        <f t="shared" si="7"/>
        <v/>
      </c>
      <c r="N48" t="str">
        <f t="shared" si="8"/>
        <v/>
      </c>
      <c r="O48" t="str">
        <f t="shared" si="9"/>
        <v/>
      </c>
      <c r="P48" s="8" t="str">
        <f t="shared" si="10"/>
        <v/>
      </c>
    </row>
    <row r="49" spans="5:16">
      <c r="E49" s="5" t="str">
        <f t="shared" si="0"/>
        <v/>
      </c>
      <c r="F49" s="5" t="str">
        <f t="shared" si="1"/>
        <v/>
      </c>
      <c r="G49" s="5" t="str">
        <f t="shared" si="2"/>
        <v/>
      </c>
      <c r="H49" s="5" t="str">
        <f t="shared" si="3"/>
        <v/>
      </c>
      <c r="I49" s="5"/>
      <c r="J49" s="5" t="str">
        <f t="shared" si="4"/>
        <v/>
      </c>
      <c r="K49" s="5" t="str">
        <f t="shared" si="5"/>
        <v/>
      </c>
      <c r="L49" s="6" t="str">
        <f t="shared" si="6"/>
        <v/>
      </c>
      <c r="M49" s="7" t="str">
        <f t="shared" si="7"/>
        <v/>
      </c>
      <c r="N49" t="str">
        <f t="shared" si="8"/>
        <v/>
      </c>
      <c r="O49" t="str">
        <f t="shared" si="9"/>
        <v/>
      </c>
      <c r="P49" s="8" t="str">
        <f t="shared" si="10"/>
        <v/>
      </c>
    </row>
    <row r="50" spans="5:16">
      <c r="E50" s="5" t="str">
        <f t="shared" si="0"/>
        <v/>
      </c>
      <c r="F50" s="5" t="str">
        <f t="shared" si="1"/>
        <v/>
      </c>
      <c r="G50" s="5" t="str">
        <f t="shared" si="2"/>
        <v/>
      </c>
      <c r="H50" s="5" t="str">
        <f t="shared" si="3"/>
        <v/>
      </c>
      <c r="I50" s="5"/>
      <c r="J50" s="5" t="str">
        <f t="shared" si="4"/>
        <v/>
      </c>
      <c r="K50" s="5" t="str">
        <f t="shared" si="5"/>
        <v/>
      </c>
      <c r="L50" s="6" t="str">
        <f t="shared" si="6"/>
        <v/>
      </c>
      <c r="M50" s="7" t="str">
        <f t="shared" si="7"/>
        <v/>
      </c>
      <c r="N50" t="str">
        <f t="shared" si="8"/>
        <v/>
      </c>
      <c r="O50" t="str">
        <f t="shared" si="9"/>
        <v/>
      </c>
      <c r="P50" s="8" t="str">
        <f t="shared" si="10"/>
        <v/>
      </c>
    </row>
    <row r="51" spans="5:16">
      <c r="E51" s="5" t="str">
        <f t="shared" si="0"/>
        <v/>
      </c>
      <c r="F51" s="5" t="str">
        <f t="shared" si="1"/>
        <v/>
      </c>
      <c r="G51" s="5" t="str">
        <f t="shared" si="2"/>
        <v/>
      </c>
      <c r="H51" s="5" t="str">
        <f t="shared" si="3"/>
        <v/>
      </c>
      <c r="I51" s="5"/>
      <c r="J51" s="5" t="str">
        <f t="shared" si="4"/>
        <v/>
      </c>
      <c r="K51" s="5" t="str">
        <f t="shared" si="5"/>
        <v/>
      </c>
      <c r="L51" s="6" t="str">
        <f t="shared" si="6"/>
        <v/>
      </c>
      <c r="M51" s="7" t="str">
        <f t="shared" si="7"/>
        <v/>
      </c>
      <c r="N51" t="str">
        <f t="shared" si="8"/>
        <v/>
      </c>
      <c r="O51" t="str">
        <f t="shared" si="9"/>
        <v/>
      </c>
      <c r="P51" s="8" t="str">
        <f t="shared" si="10"/>
        <v/>
      </c>
    </row>
    <row r="52" spans="5:16">
      <c r="E52" s="5" t="str">
        <f t="shared" si="0"/>
        <v/>
      </c>
      <c r="F52" s="5" t="str">
        <f t="shared" si="1"/>
        <v/>
      </c>
      <c r="G52" s="5" t="str">
        <f t="shared" si="2"/>
        <v/>
      </c>
      <c r="H52" s="5" t="str">
        <f t="shared" si="3"/>
        <v/>
      </c>
      <c r="I52" s="5"/>
      <c r="J52" s="5" t="str">
        <f t="shared" si="4"/>
        <v/>
      </c>
      <c r="K52" s="5" t="str">
        <f t="shared" si="5"/>
        <v/>
      </c>
      <c r="L52" s="6" t="str">
        <f t="shared" si="6"/>
        <v/>
      </c>
      <c r="M52" s="7" t="str">
        <f t="shared" si="7"/>
        <v/>
      </c>
      <c r="N52" t="str">
        <f t="shared" si="8"/>
        <v/>
      </c>
      <c r="O52" t="str">
        <f t="shared" si="9"/>
        <v/>
      </c>
      <c r="P52" s="8" t="str">
        <f t="shared" si="10"/>
        <v/>
      </c>
    </row>
    <row r="53" spans="5:16">
      <c r="E53" s="5" t="str">
        <f t="shared" si="0"/>
        <v/>
      </c>
      <c r="F53" s="5" t="str">
        <f t="shared" si="1"/>
        <v/>
      </c>
      <c r="G53" s="5" t="str">
        <f t="shared" si="2"/>
        <v/>
      </c>
      <c r="H53" s="5" t="str">
        <f t="shared" si="3"/>
        <v/>
      </c>
      <c r="I53" s="5"/>
      <c r="J53" s="5" t="str">
        <f t="shared" si="4"/>
        <v/>
      </c>
      <c r="K53" s="5" t="str">
        <f t="shared" si="5"/>
        <v/>
      </c>
      <c r="L53" s="6" t="str">
        <f t="shared" si="6"/>
        <v/>
      </c>
      <c r="M53" s="7" t="str">
        <f t="shared" si="7"/>
        <v/>
      </c>
      <c r="N53" t="str">
        <f t="shared" si="8"/>
        <v/>
      </c>
      <c r="O53" t="str">
        <f t="shared" si="9"/>
        <v/>
      </c>
      <c r="P53" s="8" t="str">
        <f t="shared" si="10"/>
        <v/>
      </c>
    </row>
    <row r="54" spans="5:16">
      <c r="E54" s="5" t="str">
        <f t="shared" si="0"/>
        <v/>
      </c>
      <c r="F54" s="5" t="str">
        <f t="shared" si="1"/>
        <v/>
      </c>
      <c r="G54" s="5" t="str">
        <f t="shared" si="2"/>
        <v/>
      </c>
      <c r="H54" s="5" t="str">
        <f t="shared" si="3"/>
        <v/>
      </c>
      <c r="I54" s="5"/>
      <c r="J54" s="5" t="str">
        <f t="shared" si="4"/>
        <v/>
      </c>
      <c r="K54" s="5" t="str">
        <f t="shared" si="5"/>
        <v/>
      </c>
      <c r="L54" s="6" t="str">
        <f t="shared" si="6"/>
        <v/>
      </c>
      <c r="M54" s="7" t="str">
        <f t="shared" si="7"/>
        <v/>
      </c>
      <c r="N54" t="str">
        <f t="shared" si="8"/>
        <v/>
      </c>
      <c r="O54" t="str">
        <f t="shared" si="9"/>
        <v/>
      </c>
      <c r="P54" s="8" t="str">
        <f t="shared" si="10"/>
        <v/>
      </c>
    </row>
    <row r="55" spans="5:16">
      <c r="E55" s="5" t="str">
        <f t="shared" si="0"/>
        <v/>
      </c>
      <c r="F55" s="5" t="str">
        <f t="shared" si="1"/>
        <v/>
      </c>
      <c r="G55" s="5" t="str">
        <f t="shared" si="2"/>
        <v/>
      </c>
      <c r="H55" s="5" t="str">
        <f t="shared" si="3"/>
        <v/>
      </c>
      <c r="I55" s="5"/>
      <c r="J55" s="5" t="str">
        <f t="shared" si="4"/>
        <v/>
      </c>
      <c r="K55" s="5" t="str">
        <f t="shared" si="5"/>
        <v/>
      </c>
      <c r="L55" s="6" t="str">
        <f t="shared" si="6"/>
        <v/>
      </c>
      <c r="M55" s="7" t="str">
        <f t="shared" si="7"/>
        <v/>
      </c>
      <c r="N55" t="str">
        <f t="shared" si="8"/>
        <v/>
      </c>
      <c r="O55" t="str">
        <f t="shared" si="9"/>
        <v/>
      </c>
      <c r="P55" s="8" t="str">
        <f t="shared" si="10"/>
        <v/>
      </c>
    </row>
    <row r="56" spans="5:16">
      <c r="E56" s="5" t="str">
        <f t="shared" si="0"/>
        <v/>
      </c>
      <c r="F56" s="5" t="str">
        <f t="shared" si="1"/>
        <v/>
      </c>
      <c r="G56" s="5" t="str">
        <f t="shared" si="2"/>
        <v/>
      </c>
      <c r="H56" s="5" t="str">
        <f t="shared" si="3"/>
        <v/>
      </c>
      <c r="I56" s="5"/>
      <c r="J56" s="5" t="str">
        <f t="shared" si="4"/>
        <v/>
      </c>
      <c r="K56" s="5" t="str">
        <f t="shared" si="5"/>
        <v/>
      </c>
      <c r="L56" s="6" t="str">
        <f t="shared" si="6"/>
        <v/>
      </c>
      <c r="M56" s="7" t="str">
        <f t="shared" si="7"/>
        <v/>
      </c>
      <c r="N56" t="str">
        <f t="shared" si="8"/>
        <v/>
      </c>
      <c r="O56" t="str">
        <f t="shared" si="9"/>
        <v/>
      </c>
      <c r="P56" s="8" t="str">
        <f t="shared" si="10"/>
        <v/>
      </c>
    </row>
    <row r="57" spans="5:16">
      <c r="E57" s="5" t="str">
        <f t="shared" si="0"/>
        <v/>
      </c>
      <c r="F57" s="5" t="str">
        <f t="shared" si="1"/>
        <v/>
      </c>
      <c r="G57" s="5" t="str">
        <f t="shared" si="2"/>
        <v/>
      </c>
      <c r="H57" s="5" t="str">
        <f t="shared" si="3"/>
        <v/>
      </c>
      <c r="I57" s="5"/>
      <c r="J57" s="5" t="str">
        <f t="shared" si="4"/>
        <v/>
      </c>
      <c r="K57" s="5" t="str">
        <f t="shared" si="5"/>
        <v/>
      </c>
      <c r="L57" s="6" t="str">
        <f t="shared" si="6"/>
        <v/>
      </c>
      <c r="M57" s="7" t="str">
        <f t="shared" si="7"/>
        <v/>
      </c>
      <c r="N57" t="str">
        <f t="shared" si="8"/>
        <v/>
      </c>
      <c r="O57" t="str">
        <f t="shared" si="9"/>
        <v/>
      </c>
      <c r="P57" s="8" t="str">
        <f t="shared" si="10"/>
        <v/>
      </c>
    </row>
    <row r="58" spans="5:16">
      <c r="E58" s="5" t="str">
        <f t="shared" si="0"/>
        <v/>
      </c>
      <c r="F58" s="5" t="str">
        <f t="shared" si="1"/>
        <v/>
      </c>
      <c r="G58" s="5" t="str">
        <f t="shared" si="2"/>
        <v/>
      </c>
      <c r="H58" s="5" t="str">
        <f t="shared" si="3"/>
        <v/>
      </c>
      <c r="I58" s="5"/>
      <c r="J58" s="5" t="str">
        <f t="shared" si="4"/>
        <v/>
      </c>
      <c r="K58" s="5" t="str">
        <f t="shared" si="5"/>
        <v/>
      </c>
      <c r="L58" s="6" t="str">
        <f t="shared" si="6"/>
        <v/>
      </c>
      <c r="M58" s="7" t="str">
        <f t="shared" si="7"/>
        <v/>
      </c>
      <c r="N58" t="str">
        <f t="shared" si="8"/>
        <v/>
      </c>
      <c r="O58" t="str">
        <f t="shared" si="9"/>
        <v/>
      </c>
      <c r="P58" s="8" t="str">
        <f t="shared" si="10"/>
        <v/>
      </c>
    </row>
    <row r="59" spans="5:16">
      <c r="E59" s="5" t="str">
        <f t="shared" si="0"/>
        <v/>
      </c>
      <c r="F59" s="5" t="str">
        <f t="shared" si="1"/>
        <v/>
      </c>
      <c r="G59" s="5" t="str">
        <f t="shared" si="2"/>
        <v/>
      </c>
      <c r="H59" s="5" t="str">
        <f t="shared" si="3"/>
        <v/>
      </c>
      <c r="I59" s="5"/>
      <c r="J59" s="5" t="str">
        <f t="shared" si="4"/>
        <v/>
      </c>
      <c r="K59" s="5" t="str">
        <f t="shared" si="5"/>
        <v/>
      </c>
      <c r="L59" s="6" t="str">
        <f t="shared" si="6"/>
        <v/>
      </c>
      <c r="M59" s="7" t="str">
        <f t="shared" si="7"/>
        <v/>
      </c>
      <c r="N59" t="str">
        <f t="shared" si="8"/>
        <v/>
      </c>
      <c r="O59" t="str">
        <f t="shared" si="9"/>
        <v/>
      </c>
      <c r="P59" s="8" t="str">
        <f t="shared" si="10"/>
        <v/>
      </c>
    </row>
    <row r="60" spans="5:16">
      <c r="E60" s="5" t="str">
        <f t="shared" si="0"/>
        <v/>
      </c>
      <c r="F60" s="5" t="str">
        <f t="shared" si="1"/>
        <v/>
      </c>
      <c r="G60" s="5" t="str">
        <f t="shared" si="2"/>
        <v/>
      </c>
      <c r="H60" s="5" t="str">
        <f t="shared" si="3"/>
        <v/>
      </c>
      <c r="I60" s="5"/>
      <c r="J60" s="5" t="str">
        <f t="shared" si="4"/>
        <v/>
      </c>
      <c r="K60" s="5" t="str">
        <f t="shared" si="5"/>
        <v/>
      </c>
      <c r="L60" s="6" t="str">
        <f t="shared" si="6"/>
        <v/>
      </c>
      <c r="M60" s="7" t="str">
        <f t="shared" si="7"/>
        <v/>
      </c>
      <c r="N60" t="str">
        <f t="shared" si="8"/>
        <v/>
      </c>
      <c r="O60" t="str">
        <f t="shared" si="9"/>
        <v/>
      </c>
      <c r="P60" s="8" t="str">
        <f t="shared" si="10"/>
        <v/>
      </c>
    </row>
    <row r="61" spans="5:16">
      <c r="E61" s="5" t="str">
        <f t="shared" si="0"/>
        <v/>
      </c>
      <c r="F61" s="5" t="str">
        <f t="shared" si="1"/>
        <v/>
      </c>
      <c r="G61" s="5" t="str">
        <f t="shared" si="2"/>
        <v/>
      </c>
      <c r="H61" s="5" t="str">
        <f t="shared" si="3"/>
        <v/>
      </c>
      <c r="I61" s="5"/>
      <c r="J61" s="5" t="str">
        <f t="shared" si="4"/>
        <v/>
      </c>
      <c r="K61" s="5" t="str">
        <f t="shared" si="5"/>
        <v/>
      </c>
      <c r="L61" s="6" t="str">
        <f t="shared" si="6"/>
        <v/>
      </c>
      <c r="M61" s="7" t="str">
        <f t="shared" si="7"/>
        <v/>
      </c>
      <c r="N61" t="str">
        <f t="shared" si="8"/>
        <v/>
      </c>
      <c r="O61" t="str">
        <f t="shared" si="9"/>
        <v/>
      </c>
      <c r="P61" s="8" t="str">
        <f t="shared" si="10"/>
        <v/>
      </c>
    </row>
    <row r="62" spans="5:16">
      <c r="E62" s="5" t="str">
        <f t="shared" si="0"/>
        <v/>
      </c>
      <c r="F62" s="5" t="str">
        <f t="shared" si="1"/>
        <v/>
      </c>
      <c r="G62" s="5" t="str">
        <f t="shared" si="2"/>
        <v/>
      </c>
      <c r="H62" s="5" t="str">
        <f t="shared" si="3"/>
        <v/>
      </c>
      <c r="I62" s="5"/>
      <c r="J62" s="5" t="str">
        <f t="shared" si="4"/>
        <v/>
      </c>
      <c r="K62" s="5" t="str">
        <f t="shared" si="5"/>
        <v/>
      </c>
      <c r="L62" s="6" t="str">
        <f t="shared" si="6"/>
        <v/>
      </c>
      <c r="M62" s="7" t="str">
        <f t="shared" si="7"/>
        <v/>
      </c>
      <c r="N62" t="str">
        <f t="shared" si="8"/>
        <v/>
      </c>
      <c r="O62" t="str">
        <f t="shared" si="9"/>
        <v/>
      </c>
      <c r="P62" s="8" t="str">
        <f t="shared" si="10"/>
        <v/>
      </c>
    </row>
    <row r="63" spans="5:16">
      <c r="E63" s="5" t="str">
        <f t="shared" si="0"/>
        <v/>
      </c>
      <c r="F63" s="5" t="str">
        <f t="shared" si="1"/>
        <v/>
      </c>
      <c r="G63" s="5" t="str">
        <f t="shared" si="2"/>
        <v/>
      </c>
      <c r="H63" s="5" t="str">
        <f t="shared" si="3"/>
        <v/>
      </c>
      <c r="I63" s="5"/>
      <c r="J63" s="5" t="str">
        <f t="shared" si="4"/>
        <v/>
      </c>
      <c r="K63" s="5" t="str">
        <f t="shared" si="5"/>
        <v/>
      </c>
      <c r="L63" s="6" t="str">
        <f t="shared" si="6"/>
        <v/>
      </c>
      <c r="M63" s="7" t="str">
        <f t="shared" si="7"/>
        <v/>
      </c>
      <c r="N63" t="str">
        <f t="shared" si="8"/>
        <v/>
      </c>
      <c r="O63" t="str">
        <f t="shared" si="9"/>
        <v/>
      </c>
      <c r="P63" s="8" t="str">
        <f t="shared" si="10"/>
        <v/>
      </c>
    </row>
    <row r="64" spans="5:16">
      <c r="E64" s="5" t="str">
        <f t="shared" si="0"/>
        <v/>
      </c>
      <c r="F64" s="5" t="str">
        <f t="shared" si="1"/>
        <v/>
      </c>
      <c r="G64" s="5" t="str">
        <f t="shared" si="2"/>
        <v/>
      </c>
      <c r="H64" s="5" t="str">
        <f t="shared" si="3"/>
        <v/>
      </c>
      <c r="I64" s="5"/>
      <c r="J64" s="5" t="str">
        <f t="shared" si="4"/>
        <v/>
      </c>
      <c r="K64" s="5" t="str">
        <f t="shared" si="5"/>
        <v/>
      </c>
      <c r="L64" s="6" t="str">
        <f t="shared" si="6"/>
        <v/>
      </c>
      <c r="M64" s="7" t="str">
        <f t="shared" si="7"/>
        <v/>
      </c>
      <c r="N64" t="str">
        <f t="shared" si="8"/>
        <v/>
      </c>
      <c r="O64" t="str">
        <f t="shared" si="9"/>
        <v/>
      </c>
      <c r="P64" s="8" t="str">
        <f t="shared" si="10"/>
        <v/>
      </c>
    </row>
    <row r="65" spans="5:16">
      <c r="E65" s="5" t="str">
        <f t="shared" si="0"/>
        <v/>
      </c>
      <c r="F65" s="5" t="str">
        <f t="shared" si="1"/>
        <v/>
      </c>
      <c r="G65" s="5" t="str">
        <f t="shared" si="2"/>
        <v/>
      </c>
      <c r="H65" s="5" t="str">
        <f t="shared" si="3"/>
        <v/>
      </c>
      <c r="I65" s="5"/>
      <c r="J65" s="5" t="str">
        <f t="shared" si="4"/>
        <v/>
      </c>
      <c r="K65" s="5" t="str">
        <f t="shared" si="5"/>
        <v/>
      </c>
      <c r="L65" s="6" t="str">
        <f t="shared" si="6"/>
        <v/>
      </c>
      <c r="M65" s="7" t="str">
        <f t="shared" si="7"/>
        <v/>
      </c>
      <c r="N65" t="str">
        <f t="shared" si="8"/>
        <v/>
      </c>
      <c r="O65" t="str">
        <f t="shared" si="9"/>
        <v/>
      </c>
      <c r="P65" s="8" t="str">
        <f t="shared" si="10"/>
        <v/>
      </c>
    </row>
    <row r="66" spans="5:16">
      <c r="E66" s="5" t="str">
        <f t="shared" ref="E66:E129" si="11">IF(OR(TRIM(B66&amp;"")="",TRIM(C66&amp;"")=""),"",IF(O66="无法匹配","无法匹配",IF(O66="Big","未上线",IF(O66="Extra Small",ROUND(P66*1000*0.025+3,2),IF(O66="Budget",ROUND(P66*1000*0.017+23,2),IF(O66="Small",ROUND(P66*1000*0.025+16,2),IF(O66="Premium Small",ROUND(P66*1000*0.025+22,2),IF(O66="Premium Big",ROUND(P66*1000*0.023+62,2),""))))))))</f>
        <v/>
      </c>
      <c r="F66" s="5" t="str">
        <f t="shared" ref="F66:F129" si="12">IF(TRIM(C66&amp;"")="","",ROUND(IFERROR(VALUE(C66),0)*IF((IFERROR(VALUE(C66),0)*$R$2)&lt;1500,12%,20%),2))</f>
        <v/>
      </c>
      <c r="G66" s="5" t="str">
        <f t="shared" ref="G66:G129" si="13">IF(TRIM(C66&amp;"")="","",3)</f>
        <v/>
      </c>
      <c r="H66" s="5" t="str">
        <f t="shared" ref="H66:H129" si="14">IF(TRIM(C66&amp;"")="","",ROUND(IFERROR(VALUE(C66),0)*2%,2))</f>
        <v/>
      </c>
      <c r="I66" s="5"/>
      <c r="J66" s="5" t="str">
        <f t="shared" ref="J66:J129" si="15">IF(TRIM(C66&amp;"")="","",ROUND(IFERROR(VALUE(C66),0)*2%,2))</f>
        <v/>
      </c>
      <c r="K66" s="5" t="str">
        <f t="shared" ref="K66:K129" si="16">IF(TRIM(C66&amp;"")="","",IF(OR(E66="未上线",E66="无法匹配"),E66,ROUND(IFERROR(VALUE(D66),0)+N(E66)+N(F66)+N(G66)+N(H66)+IFERROR(VALUE(I66),0)+N(J66),2)))</f>
        <v/>
      </c>
      <c r="L66" s="6" t="str">
        <f t="shared" ref="L66:L129" si="17">IF(TRIM(C66&amp;"")="","",IF(OR(E66="未上线",E66="无法匹配"),E66,ROUND(IFERROR(VALUE(C66),0)-K66,2)))</f>
        <v/>
      </c>
      <c r="M66" s="7" t="str">
        <f t="shared" ref="M66:M129" si="18">IF(TRIM(C66&amp;"")="","",IF(OR(E66="未上线",E66="无法匹配"),"",IF(IFERROR(VALUE(C66),0)=0,"",L66/IFERROR(VALUE(C66),0))))</f>
        <v/>
      </c>
      <c r="N66" t="str">
        <f t="shared" ref="N66:N129" si="19">IF(OR(TRIM(A66&amp;"")="",TRIM(C66&amp;"")=""),"",A66&amp;","&amp;ROUND(IFERROR(VALUE(C66),0)*2,0))</f>
        <v/>
      </c>
      <c r="O66" t="str">
        <f t="shared" ref="O66:O129" si="20">IF(OR(TRIM(B66&amp;"")="",TRIM(C66&amp;"")=""),"",IF(AND((IFERROR(VALUE(C66),0)*$R$2)&gt;=0,(IFERROR(VALUE(C66),0)*$R$2)&lt;1500,IFERROR(VALUE(B66),0)&gt;=0,IFERROR(VALUE(B66),0)&lt;=500),"Extra Small",IF(AND((IFERROR(VALUE(C66),0)*$R$2)&gt;=0,(IFERROR(VALUE(C66),0)*$R$2)&lt;1500,IFERROR(VALUE(B66),0)&gt;500,IFERROR(VALUE(B66),0)&lt;=30000),"Budget",IF(AND((IFERROR(VALUE(C66),0)*$R$2)&gt;=1500,(IFERROR(VALUE(C66),0)*$R$2)&lt;7000,IFERROR(VALUE(B66),0)&gt;=0,IFERROR(VALUE(B66),0)&lt;=2000),"Small",IF(AND((IFERROR(VALUE(C66),0)*$R$2)&gt;=1500,(IFERROR(VALUE(C66),0)*$R$2)&lt;7000,IFERROR(VALUE(B66),0)&gt;2000,IFERROR(VALUE(B66),0)&lt;=30000),"Big",IF(AND((IFERROR(VALUE(C66),0)*$R$2)&gt;=7000,(IFERROR(VALUE(C66),0)*$R$2)&lt;=250000,IFERROR(VALUE(B66),0)&gt;=0,IFERROR(VALUE(B66),0)&lt;=5000),"Premium Small",IF(AND((IFERROR(VALUE(C66),0)*$R$2)&gt;=7000,(IFERROR(VALUE(C66),0)*$R$2)&lt;=250000,IFERROR(VALUE(B66),0)&gt;5000,IFERROR(VALUE(B66),0)&lt;=30000),"Premium Big","无法匹配")))))))</f>
        <v/>
      </c>
      <c r="P66" s="8" t="str">
        <f t="shared" ref="P66:P129" si="21">IF(O66="","",IF(O66="无法匹配","",IF(OR(O66="Extra Small",O66="Budget"),ROUND(IFERROR(VALUE(B66),0)/1000,3),ROUND(MAX(IFERROR(VALUE(B66),0)/1000,(20*20*20/12000)),3))))</f>
        <v/>
      </c>
    </row>
    <row r="67" spans="5:16">
      <c r="E67" s="5" t="str">
        <f t="shared" si="11"/>
        <v/>
      </c>
      <c r="F67" s="5" t="str">
        <f t="shared" si="12"/>
        <v/>
      </c>
      <c r="G67" s="5" t="str">
        <f t="shared" si="13"/>
        <v/>
      </c>
      <c r="H67" s="5" t="str">
        <f t="shared" si="14"/>
        <v/>
      </c>
      <c r="I67" s="5"/>
      <c r="J67" s="5" t="str">
        <f t="shared" si="15"/>
        <v/>
      </c>
      <c r="K67" s="5" t="str">
        <f t="shared" si="16"/>
        <v/>
      </c>
      <c r="L67" s="6" t="str">
        <f t="shared" si="17"/>
        <v/>
      </c>
      <c r="M67" s="7" t="str">
        <f t="shared" si="18"/>
        <v/>
      </c>
      <c r="N67" t="str">
        <f t="shared" si="19"/>
        <v/>
      </c>
      <c r="O67" t="str">
        <f t="shared" si="20"/>
        <v/>
      </c>
      <c r="P67" s="8" t="str">
        <f t="shared" si="21"/>
        <v/>
      </c>
    </row>
    <row r="68" spans="5:16">
      <c r="E68" s="5" t="str">
        <f t="shared" si="11"/>
        <v/>
      </c>
      <c r="F68" s="5" t="str">
        <f t="shared" si="12"/>
        <v/>
      </c>
      <c r="G68" s="5" t="str">
        <f t="shared" si="13"/>
        <v/>
      </c>
      <c r="H68" s="5" t="str">
        <f t="shared" si="14"/>
        <v/>
      </c>
      <c r="I68" s="5"/>
      <c r="J68" s="5" t="str">
        <f t="shared" si="15"/>
        <v/>
      </c>
      <c r="K68" s="5" t="str">
        <f t="shared" si="16"/>
        <v/>
      </c>
      <c r="L68" s="6" t="str">
        <f t="shared" si="17"/>
        <v/>
      </c>
      <c r="M68" s="7" t="str">
        <f t="shared" si="18"/>
        <v/>
      </c>
      <c r="N68" t="str">
        <f t="shared" si="19"/>
        <v/>
      </c>
      <c r="O68" t="str">
        <f t="shared" si="20"/>
        <v/>
      </c>
      <c r="P68" s="8" t="str">
        <f t="shared" si="21"/>
        <v/>
      </c>
    </row>
    <row r="69" spans="5:16">
      <c r="E69" s="5" t="str">
        <f t="shared" si="11"/>
        <v/>
      </c>
      <c r="F69" s="5" t="str">
        <f t="shared" si="12"/>
        <v/>
      </c>
      <c r="G69" s="5" t="str">
        <f t="shared" si="13"/>
        <v/>
      </c>
      <c r="H69" s="5" t="str">
        <f t="shared" si="14"/>
        <v/>
      </c>
      <c r="I69" s="5"/>
      <c r="J69" s="5" t="str">
        <f t="shared" si="15"/>
        <v/>
      </c>
      <c r="K69" s="5" t="str">
        <f t="shared" si="16"/>
        <v/>
      </c>
      <c r="L69" s="6" t="str">
        <f t="shared" si="17"/>
        <v/>
      </c>
      <c r="M69" s="7" t="str">
        <f t="shared" si="18"/>
        <v/>
      </c>
      <c r="N69" t="str">
        <f t="shared" si="19"/>
        <v/>
      </c>
      <c r="O69" t="str">
        <f t="shared" si="20"/>
        <v/>
      </c>
      <c r="P69" s="8" t="str">
        <f t="shared" si="21"/>
        <v/>
      </c>
    </row>
    <row r="70" spans="5:16">
      <c r="E70" s="5" t="str">
        <f t="shared" si="11"/>
        <v/>
      </c>
      <c r="F70" s="5" t="str">
        <f t="shared" si="12"/>
        <v/>
      </c>
      <c r="G70" s="5" t="str">
        <f t="shared" si="13"/>
        <v/>
      </c>
      <c r="H70" s="5" t="str">
        <f t="shared" si="14"/>
        <v/>
      </c>
      <c r="I70" s="5"/>
      <c r="J70" s="5" t="str">
        <f t="shared" si="15"/>
        <v/>
      </c>
      <c r="K70" s="5" t="str">
        <f t="shared" si="16"/>
        <v/>
      </c>
      <c r="L70" s="6" t="str">
        <f t="shared" si="17"/>
        <v/>
      </c>
      <c r="M70" s="7" t="str">
        <f t="shared" si="18"/>
        <v/>
      </c>
      <c r="N70" t="str">
        <f t="shared" si="19"/>
        <v/>
      </c>
      <c r="O70" t="str">
        <f t="shared" si="20"/>
        <v/>
      </c>
      <c r="P70" s="8" t="str">
        <f t="shared" si="21"/>
        <v/>
      </c>
    </row>
    <row r="71" spans="5:16">
      <c r="E71" s="5" t="str">
        <f t="shared" si="11"/>
        <v/>
      </c>
      <c r="F71" s="5" t="str">
        <f t="shared" si="12"/>
        <v/>
      </c>
      <c r="G71" s="5" t="str">
        <f t="shared" si="13"/>
        <v/>
      </c>
      <c r="H71" s="5" t="str">
        <f t="shared" si="14"/>
        <v/>
      </c>
      <c r="I71" s="5"/>
      <c r="J71" s="5" t="str">
        <f t="shared" si="15"/>
        <v/>
      </c>
      <c r="K71" s="5" t="str">
        <f t="shared" si="16"/>
        <v/>
      </c>
      <c r="L71" s="6" t="str">
        <f t="shared" si="17"/>
        <v/>
      </c>
      <c r="M71" s="7" t="str">
        <f t="shared" si="18"/>
        <v/>
      </c>
      <c r="N71" t="str">
        <f t="shared" si="19"/>
        <v/>
      </c>
      <c r="O71" t="str">
        <f t="shared" si="20"/>
        <v/>
      </c>
      <c r="P71" s="8" t="str">
        <f t="shared" si="21"/>
        <v/>
      </c>
    </row>
    <row r="72" spans="5:16">
      <c r="E72" s="5" t="str">
        <f t="shared" si="11"/>
        <v/>
      </c>
      <c r="F72" s="5" t="str">
        <f t="shared" si="12"/>
        <v/>
      </c>
      <c r="G72" s="5" t="str">
        <f t="shared" si="13"/>
        <v/>
      </c>
      <c r="H72" s="5" t="str">
        <f t="shared" si="14"/>
        <v/>
      </c>
      <c r="I72" s="5"/>
      <c r="J72" s="5" t="str">
        <f t="shared" si="15"/>
        <v/>
      </c>
      <c r="K72" s="5" t="str">
        <f t="shared" si="16"/>
        <v/>
      </c>
      <c r="L72" s="6" t="str">
        <f t="shared" si="17"/>
        <v/>
      </c>
      <c r="M72" s="7" t="str">
        <f t="shared" si="18"/>
        <v/>
      </c>
      <c r="N72" t="str">
        <f t="shared" si="19"/>
        <v/>
      </c>
      <c r="O72" t="str">
        <f t="shared" si="20"/>
        <v/>
      </c>
      <c r="P72" s="8" t="str">
        <f t="shared" si="21"/>
        <v/>
      </c>
    </row>
    <row r="73" spans="5:16">
      <c r="E73" s="5" t="str">
        <f t="shared" si="11"/>
        <v/>
      </c>
      <c r="F73" s="5" t="str">
        <f t="shared" si="12"/>
        <v/>
      </c>
      <c r="G73" s="5" t="str">
        <f t="shared" si="13"/>
        <v/>
      </c>
      <c r="H73" s="5" t="str">
        <f t="shared" si="14"/>
        <v/>
      </c>
      <c r="I73" s="5"/>
      <c r="J73" s="5" t="str">
        <f t="shared" si="15"/>
        <v/>
      </c>
      <c r="K73" s="5" t="str">
        <f t="shared" si="16"/>
        <v/>
      </c>
      <c r="L73" s="6" t="str">
        <f t="shared" si="17"/>
        <v/>
      </c>
      <c r="M73" s="7" t="str">
        <f t="shared" si="18"/>
        <v/>
      </c>
      <c r="N73" t="str">
        <f t="shared" si="19"/>
        <v/>
      </c>
      <c r="O73" t="str">
        <f t="shared" si="20"/>
        <v/>
      </c>
      <c r="P73" s="8" t="str">
        <f t="shared" si="21"/>
        <v/>
      </c>
    </row>
    <row r="74" spans="5:16">
      <c r="E74" s="5" t="str">
        <f t="shared" si="11"/>
        <v/>
      </c>
      <c r="F74" s="5" t="str">
        <f t="shared" si="12"/>
        <v/>
      </c>
      <c r="G74" s="5" t="str">
        <f t="shared" si="13"/>
        <v/>
      </c>
      <c r="H74" s="5" t="str">
        <f t="shared" si="14"/>
        <v/>
      </c>
      <c r="I74" s="5"/>
      <c r="J74" s="5" t="str">
        <f t="shared" si="15"/>
        <v/>
      </c>
      <c r="K74" s="5" t="str">
        <f t="shared" si="16"/>
        <v/>
      </c>
      <c r="L74" s="6" t="str">
        <f t="shared" si="17"/>
        <v/>
      </c>
      <c r="M74" s="7" t="str">
        <f t="shared" si="18"/>
        <v/>
      </c>
      <c r="N74" t="str">
        <f t="shared" si="19"/>
        <v/>
      </c>
      <c r="O74" t="str">
        <f t="shared" si="20"/>
        <v/>
      </c>
      <c r="P74" s="8" t="str">
        <f t="shared" si="21"/>
        <v/>
      </c>
    </row>
    <row r="75" spans="5:16">
      <c r="E75" s="5" t="str">
        <f t="shared" si="11"/>
        <v/>
      </c>
      <c r="F75" s="5" t="str">
        <f t="shared" si="12"/>
        <v/>
      </c>
      <c r="G75" s="5" t="str">
        <f t="shared" si="13"/>
        <v/>
      </c>
      <c r="H75" s="5" t="str">
        <f t="shared" si="14"/>
        <v/>
      </c>
      <c r="I75" s="5"/>
      <c r="J75" s="5" t="str">
        <f t="shared" si="15"/>
        <v/>
      </c>
      <c r="K75" s="5" t="str">
        <f t="shared" si="16"/>
        <v/>
      </c>
      <c r="L75" s="6" t="str">
        <f t="shared" si="17"/>
        <v/>
      </c>
      <c r="M75" s="7" t="str">
        <f t="shared" si="18"/>
        <v/>
      </c>
      <c r="N75" t="str">
        <f t="shared" si="19"/>
        <v/>
      </c>
      <c r="O75" t="str">
        <f t="shared" si="20"/>
        <v/>
      </c>
      <c r="P75" s="8" t="str">
        <f t="shared" si="21"/>
        <v/>
      </c>
    </row>
    <row r="76" spans="5:16">
      <c r="E76" s="5" t="str">
        <f t="shared" si="11"/>
        <v/>
      </c>
      <c r="F76" s="5" t="str">
        <f t="shared" si="12"/>
        <v/>
      </c>
      <c r="G76" s="5" t="str">
        <f t="shared" si="13"/>
        <v/>
      </c>
      <c r="H76" s="5" t="str">
        <f t="shared" si="14"/>
        <v/>
      </c>
      <c r="I76" s="5"/>
      <c r="J76" s="5" t="str">
        <f t="shared" si="15"/>
        <v/>
      </c>
      <c r="K76" s="5" t="str">
        <f t="shared" si="16"/>
        <v/>
      </c>
      <c r="L76" s="6" t="str">
        <f t="shared" si="17"/>
        <v/>
      </c>
      <c r="M76" s="7" t="str">
        <f t="shared" si="18"/>
        <v/>
      </c>
      <c r="N76" t="str">
        <f t="shared" si="19"/>
        <v/>
      </c>
      <c r="O76" t="str">
        <f t="shared" si="20"/>
        <v/>
      </c>
      <c r="P76" s="8" t="str">
        <f t="shared" si="21"/>
        <v/>
      </c>
    </row>
    <row r="77" spans="5:16">
      <c r="E77" s="5" t="str">
        <f t="shared" si="11"/>
        <v/>
      </c>
      <c r="F77" s="5" t="str">
        <f t="shared" si="12"/>
        <v/>
      </c>
      <c r="G77" s="5" t="str">
        <f t="shared" si="13"/>
        <v/>
      </c>
      <c r="H77" s="5" t="str">
        <f t="shared" si="14"/>
        <v/>
      </c>
      <c r="I77" s="5"/>
      <c r="J77" s="5" t="str">
        <f t="shared" si="15"/>
        <v/>
      </c>
      <c r="K77" s="5" t="str">
        <f t="shared" si="16"/>
        <v/>
      </c>
      <c r="L77" s="6" t="str">
        <f t="shared" si="17"/>
        <v/>
      </c>
      <c r="M77" s="7" t="str">
        <f t="shared" si="18"/>
        <v/>
      </c>
      <c r="N77" t="str">
        <f t="shared" si="19"/>
        <v/>
      </c>
      <c r="O77" t="str">
        <f t="shared" si="20"/>
        <v/>
      </c>
      <c r="P77" s="8" t="str">
        <f t="shared" si="21"/>
        <v/>
      </c>
    </row>
    <row r="78" spans="5:16">
      <c r="E78" s="5" t="str">
        <f t="shared" si="11"/>
        <v/>
      </c>
      <c r="F78" s="5" t="str">
        <f t="shared" si="12"/>
        <v/>
      </c>
      <c r="G78" s="5" t="str">
        <f t="shared" si="13"/>
        <v/>
      </c>
      <c r="H78" s="5" t="str">
        <f t="shared" si="14"/>
        <v/>
      </c>
      <c r="I78" s="5"/>
      <c r="J78" s="5" t="str">
        <f t="shared" si="15"/>
        <v/>
      </c>
      <c r="K78" s="5" t="str">
        <f t="shared" si="16"/>
        <v/>
      </c>
      <c r="L78" s="6" t="str">
        <f t="shared" si="17"/>
        <v/>
      </c>
      <c r="M78" s="7" t="str">
        <f t="shared" si="18"/>
        <v/>
      </c>
      <c r="N78" t="str">
        <f t="shared" si="19"/>
        <v/>
      </c>
      <c r="O78" t="str">
        <f t="shared" si="20"/>
        <v/>
      </c>
      <c r="P78" s="8" t="str">
        <f t="shared" si="21"/>
        <v/>
      </c>
    </row>
    <row r="79" spans="5:16">
      <c r="E79" s="5" t="str">
        <f t="shared" si="11"/>
        <v/>
      </c>
      <c r="F79" s="5" t="str">
        <f t="shared" si="12"/>
        <v/>
      </c>
      <c r="G79" s="5" t="str">
        <f t="shared" si="13"/>
        <v/>
      </c>
      <c r="H79" s="5" t="str">
        <f t="shared" si="14"/>
        <v/>
      </c>
      <c r="I79" s="5"/>
      <c r="J79" s="5" t="str">
        <f t="shared" si="15"/>
        <v/>
      </c>
      <c r="K79" s="5" t="str">
        <f t="shared" si="16"/>
        <v/>
      </c>
      <c r="L79" s="6" t="str">
        <f t="shared" si="17"/>
        <v/>
      </c>
      <c r="M79" s="7" t="str">
        <f t="shared" si="18"/>
        <v/>
      </c>
      <c r="N79" t="str">
        <f t="shared" si="19"/>
        <v/>
      </c>
      <c r="O79" t="str">
        <f t="shared" si="20"/>
        <v/>
      </c>
      <c r="P79" s="8" t="str">
        <f t="shared" si="21"/>
        <v/>
      </c>
    </row>
    <row r="80" spans="5:16">
      <c r="E80" s="5" t="str">
        <f t="shared" si="11"/>
        <v/>
      </c>
      <c r="F80" s="5" t="str">
        <f t="shared" si="12"/>
        <v/>
      </c>
      <c r="G80" s="5" t="str">
        <f t="shared" si="13"/>
        <v/>
      </c>
      <c r="H80" s="5" t="str">
        <f t="shared" si="14"/>
        <v/>
      </c>
      <c r="I80" s="5"/>
      <c r="J80" s="5" t="str">
        <f t="shared" si="15"/>
        <v/>
      </c>
      <c r="K80" s="5" t="str">
        <f t="shared" si="16"/>
        <v/>
      </c>
      <c r="L80" s="6" t="str">
        <f t="shared" si="17"/>
        <v/>
      </c>
      <c r="M80" s="7" t="str">
        <f t="shared" si="18"/>
        <v/>
      </c>
      <c r="N80" t="str">
        <f t="shared" si="19"/>
        <v/>
      </c>
      <c r="O80" t="str">
        <f t="shared" si="20"/>
        <v/>
      </c>
      <c r="P80" s="8" t="str">
        <f t="shared" si="21"/>
        <v/>
      </c>
    </row>
    <row r="81" spans="5:16">
      <c r="E81" s="5" t="str">
        <f t="shared" si="11"/>
        <v/>
      </c>
      <c r="F81" s="5" t="str">
        <f t="shared" si="12"/>
        <v/>
      </c>
      <c r="G81" s="5" t="str">
        <f t="shared" si="13"/>
        <v/>
      </c>
      <c r="H81" s="5" t="str">
        <f t="shared" si="14"/>
        <v/>
      </c>
      <c r="I81" s="5"/>
      <c r="J81" s="5" t="str">
        <f t="shared" si="15"/>
        <v/>
      </c>
      <c r="K81" s="5" t="str">
        <f t="shared" si="16"/>
        <v/>
      </c>
      <c r="L81" s="6" t="str">
        <f t="shared" si="17"/>
        <v/>
      </c>
      <c r="M81" s="7" t="str">
        <f t="shared" si="18"/>
        <v/>
      </c>
      <c r="N81" t="str">
        <f t="shared" si="19"/>
        <v/>
      </c>
      <c r="O81" t="str">
        <f t="shared" si="20"/>
        <v/>
      </c>
      <c r="P81" s="8" t="str">
        <f t="shared" si="21"/>
        <v/>
      </c>
    </row>
    <row r="82" spans="5:16">
      <c r="E82" s="5" t="str">
        <f t="shared" si="11"/>
        <v/>
      </c>
      <c r="F82" s="5" t="str">
        <f t="shared" si="12"/>
        <v/>
      </c>
      <c r="G82" s="5" t="str">
        <f t="shared" si="13"/>
        <v/>
      </c>
      <c r="H82" s="5" t="str">
        <f t="shared" si="14"/>
        <v/>
      </c>
      <c r="I82" s="5"/>
      <c r="J82" s="5" t="str">
        <f t="shared" si="15"/>
        <v/>
      </c>
      <c r="K82" s="5" t="str">
        <f t="shared" si="16"/>
        <v/>
      </c>
      <c r="L82" s="6" t="str">
        <f t="shared" si="17"/>
        <v/>
      </c>
      <c r="M82" s="7" t="str">
        <f t="shared" si="18"/>
        <v/>
      </c>
      <c r="N82" t="str">
        <f t="shared" si="19"/>
        <v/>
      </c>
      <c r="O82" t="str">
        <f t="shared" si="20"/>
        <v/>
      </c>
      <c r="P82" s="8" t="str">
        <f t="shared" si="21"/>
        <v/>
      </c>
    </row>
    <row r="83" spans="5:16">
      <c r="E83" s="5" t="str">
        <f t="shared" si="11"/>
        <v/>
      </c>
      <c r="F83" s="5" t="str">
        <f t="shared" si="12"/>
        <v/>
      </c>
      <c r="G83" s="5" t="str">
        <f t="shared" si="13"/>
        <v/>
      </c>
      <c r="H83" s="5" t="str">
        <f t="shared" si="14"/>
        <v/>
      </c>
      <c r="I83" s="5"/>
      <c r="J83" s="5" t="str">
        <f t="shared" si="15"/>
        <v/>
      </c>
      <c r="K83" s="5" t="str">
        <f t="shared" si="16"/>
        <v/>
      </c>
      <c r="L83" s="6" t="str">
        <f t="shared" si="17"/>
        <v/>
      </c>
      <c r="M83" s="7" t="str">
        <f t="shared" si="18"/>
        <v/>
      </c>
      <c r="N83" t="str">
        <f t="shared" si="19"/>
        <v/>
      </c>
      <c r="O83" t="str">
        <f t="shared" si="20"/>
        <v/>
      </c>
      <c r="P83" s="8" t="str">
        <f t="shared" si="21"/>
        <v/>
      </c>
    </row>
    <row r="84" spans="5:16">
      <c r="E84" s="5" t="str">
        <f t="shared" si="11"/>
        <v/>
      </c>
      <c r="F84" s="5" t="str">
        <f t="shared" si="12"/>
        <v/>
      </c>
      <c r="G84" s="5" t="str">
        <f t="shared" si="13"/>
        <v/>
      </c>
      <c r="H84" s="5" t="str">
        <f t="shared" si="14"/>
        <v/>
      </c>
      <c r="I84" s="5"/>
      <c r="J84" s="5" t="str">
        <f t="shared" si="15"/>
        <v/>
      </c>
      <c r="K84" s="5" t="str">
        <f t="shared" si="16"/>
        <v/>
      </c>
      <c r="L84" s="6" t="str">
        <f t="shared" si="17"/>
        <v/>
      </c>
      <c r="M84" s="7" t="str">
        <f t="shared" si="18"/>
        <v/>
      </c>
      <c r="N84" t="str">
        <f t="shared" si="19"/>
        <v/>
      </c>
      <c r="O84" t="str">
        <f t="shared" si="20"/>
        <v/>
      </c>
      <c r="P84" s="8" t="str">
        <f t="shared" si="21"/>
        <v/>
      </c>
    </row>
    <row r="85" spans="5:16">
      <c r="E85" s="5" t="str">
        <f t="shared" si="11"/>
        <v/>
      </c>
      <c r="F85" s="5" t="str">
        <f t="shared" si="12"/>
        <v/>
      </c>
      <c r="G85" s="5" t="str">
        <f t="shared" si="13"/>
        <v/>
      </c>
      <c r="H85" s="5" t="str">
        <f t="shared" si="14"/>
        <v/>
      </c>
      <c r="I85" s="5"/>
      <c r="J85" s="5" t="str">
        <f t="shared" si="15"/>
        <v/>
      </c>
      <c r="K85" s="5" t="str">
        <f t="shared" si="16"/>
        <v/>
      </c>
      <c r="L85" s="6" t="str">
        <f t="shared" si="17"/>
        <v/>
      </c>
      <c r="M85" s="7" t="str">
        <f t="shared" si="18"/>
        <v/>
      </c>
      <c r="N85" t="str">
        <f t="shared" si="19"/>
        <v/>
      </c>
      <c r="O85" t="str">
        <f t="shared" si="20"/>
        <v/>
      </c>
      <c r="P85" s="8" t="str">
        <f t="shared" si="21"/>
        <v/>
      </c>
    </row>
    <row r="86" spans="5:16">
      <c r="E86" s="5" t="str">
        <f t="shared" si="11"/>
        <v/>
      </c>
      <c r="F86" s="5" t="str">
        <f t="shared" si="12"/>
        <v/>
      </c>
      <c r="G86" s="5" t="str">
        <f t="shared" si="13"/>
        <v/>
      </c>
      <c r="H86" s="5" t="str">
        <f t="shared" si="14"/>
        <v/>
      </c>
      <c r="I86" s="5"/>
      <c r="J86" s="5" t="str">
        <f t="shared" si="15"/>
        <v/>
      </c>
      <c r="K86" s="5" t="str">
        <f t="shared" si="16"/>
        <v/>
      </c>
      <c r="L86" s="6" t="str">
        <f t="shared" si="17"/>
        <v/>
      </c>
      <c r="M86" s="7" t="str">
        <f t="shared" si="18"/>
        <v/>
      </c>
      <c r="N86" t="str">
        <f t="shared" si="19"/>
        <v/>
      </c>
      <c r="O86" t="str">
        <f t="shared" si="20"/>
        <v/>
      </c>
      <c r="P86" s="8" t="str">
        <f t="shared" si="21"/>
        <v/>
      </c>
    </row>
    <row r="87" spans="5:16">
      <c r="E87" s="5" t="str">
        <f t="shared" si="11"/>
        <v/>
      </c>
      <c r="F87" s="5" t="str">
        <f t="shared" si="12"/>
        <v/>
      </c>
      <c r="G87" s="5" t="str">
        <f t="shared" si="13"/>
        <v/>
      </c>
      <c r="H87" s="5" t="str">
        <f t="shared" si="14"/>
        <v/>
      </c>
      <c r="I87" s="5"/>
      <c r="J87" s="5" t="str">
        <f t="shared" si="15"/>
        <v/>
      </c>
      <c r="K87" s="5" t="str">
        <f t="shared" si="16"/>
        <v/>
      </c>
      <c r="L87" s="6" t="str">
        <f t="shared" si="17"/>
        <v/>
      </c>
      <c r="M87" s="7" t="str">
        <f t="shared" si="18"/>
        <v/>
      </c>
      <c r="N87" t="str">
        <f t="shared" si="19"/>
        <v/>
      </c>
      <c r="O87" t="str">
        <f t="shared" si="20"/>
        <v/>
      </c>
      <c r="P87" s="8" t="str">
        <f t="shared" si="21"/>
        <v/>
      </c>
    </row>
    <row r="88" spans="5:16">
      <c r="E88" s="5" t="str">
        <f t="shared" si="11"/>
        <v/>
      </c>
      <c r="F88" s="5" t="str">
        <f t="shared" si="12"/>
        <v/>
      </c>
      <c r="G88" s="5" t="str">
        <f t="shared" si="13"/>
        <v/>
      </c>
      <c r="H88" s="5" t="str">
        <f t="shared" si="14"/>
        <v/>
      </c>
      <c r="I88" s="5"/>
      <c r="J88" s="5" t="str">
        <f t="shared" si="15"/>
        <v/>
      </c>
      <c r="K88" s="5" t="str">
        <f t="shared" si="16"/>
        <v/>
      </c>
      <c r="L88" s="6" t="str">
        <f t="shared" si="17"/>
        <v/>
      </c>
      <c r="M88" s="7" t="str">
        <f t="shared" si="18"/>
        <v/>
      </c>
      <c r="N88" t="str">
        <f t="shared" si="19"/>
        <v/>
      </c>
      <c r="O88" t="str">
        <f t="shared" si="20"/>
        <v/>
      </c>
      <c r="P88" s="8" t="str">
        <f t="shared" si="21"/>
        <v/>
      </c>
    </row>
    <row r="89" spans="5:16">
      <c r="E89" s="5" t="str">
        <f t="shared" si="11"/>
        <v/>
      </c>
      <c r="F89" s="5" t="str">
        <f t="shared" si="12"/>
        <v/>
      </c>
      <c r="G89" s="5" t="str">
        <f t="shared" si="13"/>
        <v/>
      </c>
      <c r="H89" s="5" t="str">
        <f t="shared" si="14"/>
        <v/>
      </c>
      <c r="I89" s="5"/>
      <c r="J89" s="5" t="str">
        <f t="shared" si="15"/>
        <v/>
      </c>
      <c r="K89" s="5" t="str">
        <f t="shared" si="16"/>
        <v/>
      </c>
      <c r="L89" s="6" t="str">
        <f t="shared" si="17"/>
        <v/>
      </c>
      <c r="M89" s="7" t="str">
        <f t="shared" si="18"/>
        <v/>
      </c>
      <c r="N89" t="str">
        <f t="shared" si="19"/>
        <v/>
      </c>
      <c r="O89" t="str">
        <f t="shared" si="20"/>
        <v/>
      </c>
      <c r="P89" s="8" t="str">
        <f t="shared" si="21"/>
        <v/>
      </c>
    </row>
    <row r="90" spans="5:16">
      <c r="E90" s="5" t="str">
        <f t="shared" si="11"/>
        <v/>
      </c>
      <c r="F90" s="5" t="str">
        <f t="shared" si="12"/>
        <v/>
      </c>
      <c r="G90" s="5" t="str">
        <f t="shared" si="13"/>
        <v/>
      </c>
      <c r="H90" s="5" t="str">
        <f t="shared" si="14"/>
        <v/>
      </c>
      <c r="I90" s="5"/>
      <c r="J90" s="5" t="str">
        <f t="shared" si="15"/>
        <v/>
      </c>
      <c r="K90" s="5" t="str">
        <f t="shared" si="16"/>
        <v/>
      </c>
      <c r="L90" s="6" t="str">
        <f t="shared" si="17"/>
        <v/>
      </c>
      <c r="M90" s="7" t="str">
        <f t="shared" si="18"/>
        <v/>
      </c>
      <c r="N90" t="str">
        <f t="shared" si="19"/>
        <v/>
      </c>
      <c r="O90" t="str">
        <f t="shared" si="20"/>
        <v/>
      </c>
      <c r="P90" s="8" t="str">
        <f t="shared" si="21"/>
        <v/>
      </c>
    </row>
    <row r="91" spans="5:16">
      <c r="E91" s="5" t="str">
        <f t="shared" si="11"/>
        <v/>
      </c>
      <c r="F91" s="5" t="str">
        <f t="shared" si="12"/>
        <v/>
      </c>
      <c r="G91" s="5" t="str">
        <f t="shared" si="13"/>
        <v/>
      </c>
      <c r="H91" s="5" t="str">
        <f t="shared" si="14"/>
        <v/>
      </c>
      <c r="I91" s="5"/>
      <c r="J91" s="5" t="str">
        <f t="shared" si="15"/>
        <v/>
      </c>
      <c r="K91" s="5" t="str">
        <f t="shared" si="16"/>
        <v/>
      </c>
      <c r="L91" s="6" t="str">
        <f t="shared" si="17"/>
        <v/>
      </c>
      <c r="M91" s="7" t="str">
        <f t="shared" si="18"/>
        <v/>
      </c>
      <c r="N91" t="str">
        <f t="shared" si="19"/>
        <v/>
      </c>
      <c r="O91" t="str">
        <f t="shared" si="20"/>
        <v/>
      </c>
      <c r="P91" s="8" t="str">
        <f t="shared" si="21"/>
        <v/>
      </c>
    </row>
    <row r="92" spans="5:16">
      <c r="E92" s="5" t="str">
        <f t="shared" si="11"/>
        <v/>
      </c>
      <c r="F92" s="5" t="str">
        <f t="shared" si="12"/>
        <v/>
      </c>
      <c r="G92" s="5" t="str">
        <f t="shared" si="13"/>
        <v/>
      </c>
      <c r="H92" s="5" t="str">
        <f t="shared" si="14"/>
        <v/>
      </c>
      <c r="I92" s="5"/>
      <c r="J92" s="5" t="str">
        <f t="shared" si="15"/>
        <v/>
      </c>
      <c r="K92" s="5" t="str">
        <f t="shared" si="16"/>
        <v/>
      </c>
      <c r="L92" s="6" t="str">
        <f t="shared" si="17"/>
        <v/>
      </c>
      <c r="M92" s="7" t="str">
        <f t="shared" si="18"/>
        <v/>
      </c>
      <c r="N92" t="str">
        <f t="shared" si="19"/>
        <v/>
      </c>
      <c r="O92" t="str">
        <f t="shared" si="20"/>
        <v/>
      </c>
      <c r="P92" s="8" t="str">
        <f t="shared" si="21"/>
        <v/>
      </c>
    </row>
    <row r="93" spans="5:16">
      <c r="E93" s="5" t="str">
        <f t="shared" si="11"/>
        <v/>
      </c>
      <c r="F93" s="5" t="str">
        <f t="shared" si="12"/>
        <v/>
      </c>
      <c r="G93" s="5" t="str">
        <f t="shared" si="13"/>
        <v/>
      </c>
      <c r="H93" s="5" t="str">
        <f t="shared" si="14"/>
        <v/>
      </c>
      <c r="I93" s="5"/>
      <c r="J93" s="5" t="str">
        <f t="shared" si="15"/>
        <v/>
      </c>
      <c r="K93" s="5" t="str">
        <f t="shared" si="16"/>
        <v/>
      </c>
      <c r="L93" s="6" t="str">
        <f t="shared" si="17"/>
        <v/>
      </c>
      <c r="M93" s="7" t="str">
        <f t="shared" si="18"/>
        <v/>
      </c>
      <c r="N93" t="str">
        <f t="shared" si="19"/>
        <v/>
      </c>
      <c r="O93" t="str">
        <f t="shared" si="20"/>
        <v/>
      </c>
      <c r="P93" s="8" t="str">
        <f t="shared" si="21"/>
        <v/>
      </c>
    </row>
    <row r="94" spans="5:16">
      <c r="E94" s="5" t="str">
        <f t="shared" si="11"/>
        <v/>
      </c>
      <c r="F94" s="5" t="str">
        <f t="shared" si="12"/>
        <v/>
      </c>
      <c r="G94" s="5" t="str">
        <f t="shared" si="13"/>
        <v/>
      </c>
      <c r="H94" s="5" t="str">
        <f t="shared" si="14"/>
        <v/>
      </c>
      <c r="I94" s="5"/>
      <c r="J94" s="5" t="str">
        <f t="shared" si="15"/>
        <v/>
      </c>
      <c r="K94" s="5" t="str">
        <f t="shared" si="16"/>
        <v/>
      </c>
      <c r="L94" s="6" t="str">
        <f t="shared" si="17"/>
        <v/>
      </c>
      <c r="M94" s="7" t="str">
        <f t="shared" si="18"/>
        <v/>
      </c>
      <c r="N94" t="str">
        <f t="shared" si="19"/>
        <v/>
      </c>
      <c r="O94" t="str">
        <f t="shared" si="20"/>
        <v/>
      </c>
      <c r="P94" s="8" t="str">
        <f t="shared" si="21"/>
        <v/>
      </c>
    </row>
    <row r="95" spans="5:16">
      <c r="E95" s="5" t="str">
        <f t="shared" si="11"/>
        <v/>
      </c>
      <c r="F95" s="5" t="str">
        <f t="shared" si="12"/>
        <v/>
      </c>
      <c r="G95" s="5" t="str">
        <f t="shared" si="13"/>
        <v/>
      </c>
      <c r="H95" s="5" t="str">
        <f t="shared" si="14"/>
        <v/>
      </c>
      <c r="I95" s="5"/>
      <c r="J95" s="5" t="str">
        <f t="shared" si="15"/>
        <v/>
      </c>
      <c r="K95" s="5" t="str">
        <f t="shared" si="16"/>
        <v/>
      </c>
      <c r="L95" s="6" t="str">
        <f t="shared" si="17"/>
        <v/>
      </c>
      <c r="M95" s="7" t="str">
        <f t="shared" si="18"/>
        <v/>
      </c>
      <c r="N95" t="str">
        <f t="shared" si="19"/>
        <v/>
      </c>
      <c r="O95" t="str">
        <f t="shared" si="20"/>
        <v/>
      </c>
      <c r="P95" s="8" t="str">
        <f t="shared" si="21"/>
        <v/>
      </c>
    </row>
    <row r="96" spans="5:16">
      <c r="E96" s="5" t="str">
        <f t="shared" si="11"/>
        <v/>
      </c>
      <c r="F96" s="5" t="str">
        <f t="shared" si="12"/>
        <v/>
      </c>
      <c r="G96" s="5" t="str">
        <f t="shared" si="13"/>
        <v/>
      </c>
      <c r="H96" s="5" t="str">
        <f t="shared" si="14"/>
        <v/>
      </c>
      <c r="I96" s="5"/>
      <c r="J96" s="5" t="str">
        <f t="shared" si="15"/>
        <v/>
      </c>
      <c r="K96" s="5" t="str">
        <f t="shared" si="16"/>
        <v/>
      </c>
      <c r="L96" s="6" t="str">
        <f t="shared" si="17"/>
        <v/>
      </c>
      <c r="M96" s="7" t="str">
        <f t="shared" si="18"/>
        <v/>
      </c>
      <c r="N96" t="str">
        <f t="shared" si="19"/>
        <v/>
      </c>
      <c r="O96" t="str">
        <f t="shared" si="20"/>
        <v/>
      </c>
      <c r="P96" s="8" t="str">
        <f t="shared" si="21"/>
        <v/>
      </c>
    </row>
    <row r="97" spans="5:16">
      <c r="E97" s="5" t="str">
        <f t="shared" si="11"/>
        <v/>
      </c>
      <c r="F97" s="5" t="str">
        <f t="shared" si="12"/>
        <v/>
      </c>
      <c r="G97" s="5" t="str">
        <f t="shared" si="13"/>
        <v/>
      </c>
      <c r="H97" s="5" t="str">
        <f t="shared" si="14"/>
        <v/>
      </c>
      <c r="I97" s="5"/>
      <c r="J97" s="5" t="str">
        <f t="shared" si="15"/>
        <v/>
      </c>
      <c r="K97" s="5" t="str">
        <f t="shared" si="16"/>
        <v/>
      </c>
      <c r="L97" s="6" t="str">
        <f t="shared" si="17"/>
        <v/>
      </c>
      <c r="M97" s="7" t="str">
        <f t="shared" si="18"/>
        <v/>
      </c>
      <c r="N97" t="str">
        <f t="shared" si="19"/>
        <v/>
      </c>
      <c r="O97" t="str">
        <f t="shared" si="20"/>
        <v/>
      </c>
      <c r="P97" s="8" t="str">
        <f t="shared" si="21"/>
        <v/>
      </c>
    </row>
    <row r="98" spans="5:16">
      <c r="E98" s="5" t="str">
        <f t="shared" si="11"/>
        <v/>
      </c>
      <c r="F98" s="5" t="str">
        <f t="shared" si="12"/>
        <v/>
      </c>
      <c r="G98" s="5" t="str">
        <f t="shared" si="13"/>
        <v/>
      </c>
      <c r="H98" s="5" t="str">
        <f t="shared" si="14"/>
        <v/>
      </c>
      <c r="I98" s="5"/>
      <c r="J98" s="5" t="str">
        <f t="shared" si="15"/>
        <v/>
      </c>
      <c r="K98" s="5" t="str">
        <f t="shared" si="16"/>
        <v/>
      </c>
      <c r="L98" s="6" t="str">
        <f t="shared" si="17"/>
        <v/>
      </c>
      <c r="M98" s="7" t="str">
        <f t="shared" si="18"/>
        <v/>
      </c>
      <c r="N98" t="str">
        <f t="shared" si="19"/>
        <v/>
      </c>
      <c r="O98" t="str">
        <f t="shared" si="20"/>
        <v/>
      </c>
      <c r="P98" s="8" t="str">
        <f t="shared" si="21"/>
        <v/>
      </c>
    </row>
    <row r="99" spans="5:16">
      <c r="E99" s="5" t="str">
        <f t="shared" si="11"/>
        <v/>
      </c>
      <c r="F99" s="5" t="str">
        <f t="shared" si="12"/>
        <v/>
      </c>
      <c r="G99" s="5" t="str">
        <f t="shared" si="13"/>
        <v/>
      </c>
      <c r="H99" s="5" t="str">
        <f t="shared" si="14"/>
        <v/>
      </c>
      <c r="I99" s="5"/>
      <c r="J99" s="5" t="str">
        <f t="shared" si="15"/>
        <v/>
      </c>
      <c r="K99" s="5" t="str">
        <f t="shared" si="16"/>
        <v/>
      </c>
      <c r="L99" s="6" t="str">
        <f t="shared" si="17"/>
        <v/>
      </c>
      <c r="M99" s="7" t="str">
        <f t="shared" si="18"/>
        <v/>
      </c>
      <c r="N99" t="str">
        <f t="shared" si="19"/>
        <v/>
      </c>
      <c r="O99" t="str">
        <f t="shared" si="20"/>
        <v/>
      </c>
      <c r="P99" s="8" t="str">
        <f t="shared" si="21"/>
        <v/>
      </c>
    </row>
    <row r="100" spans="5:16">
      <c r="E100" s="5" t="str">
        <f t="shared" si="11"/>
        <v/>
      </c>
      <c r="F100" s="5" t="str">
        <f t="shared" si="12"/>
        <v/>
      </c>
      <c r="G100" s="5" t="str">
        <f t="shared" si="13"/>
        <v/>
      </c>
      <c r="H100" s="5" t="str">
        <f t="shared" si="14"/>
        <v/>
      </c>
      <c r="I100" s="5"/>
      <c r="J100" s="5" t="str">
        <f t="shared" si="15"/>
        <v/>
      </c>
      <c r="K100" s="5" t="str">
        <f t="shared" si="16"/>
        <v/>
      </c>
      <c r="L100" s="6" t="str">
        <f t="shared" si="17"/>
        <v/>
      </c>
      <c r="M100" s="7" t="str">
        <f t="shared" si="18"/>
        <v/>
      </c>
      <c r="N100" t="str">
        <f t="shared" si="19"/>
        <v/>
      </c>
      <c r="O100" t="str">
        <f t="shared" si="20"/>
        <v/>
      </c>
      <c r="P100" s="8" t="str">
        <f t="shared" si="21"/>
        <v/>
      </c>
    </row>
    <row r="101" spans="5:16">
      <c r="E101" s="5" t="str">
        <f t="shared" si="11"/>
        <v/>
      </c>
      <c r="F101" s="5" t="str">
        <f t="shared" si="12"/>
        <v/>
      </c>
      <c r="G101" s="5" t="str">
        <f t="shared" si="13"/>
        <v/>
      </c>
      <c r="H101" s="5" t="str">
        <f t="shared" si="14"/>
        <v/>
      </c>
      <c r="I101" s="5"/>
      <c r="J101" s="5" t="str">
        <f t="shared" si="15"/>
        <v/>
      </c>
      <c r="K101" s="5" t="str">
        <f t="shared" si="16"/>
        <v/>
      </c>
      <c r="L101" s="6" t="str">
        <f t="shared" si="17"/>
        <v/>
      </c>
      <c r="M101" s="7" t="str">
        <f t="shared" si="18"/>
        <v/>
      </c>
      <c r="N101" t="str">
        <f t="shared" si="19"/>
        <v/>
      </c>
      <c r="O101" t="str">
        <f t="shared" si="20"/>
        <v/>
      </c>
      <c r="P101" s="8" t="str">
        <f t="shared" si="21"/>
        <v/>
      </c>
    </row>
    <row r="102" spans="5:16">
      <c r="E102" s="5" t="str">
        <f t="shared" si="11"/>
        <v/>
      </c>
      <c r="F102" s="5" t="str">
        <f t="shared" si="12"/>
        <v/>
      </c>
      <c r="G102" s="5" t="str">
        <f t="shared" si="13"/>
        <v/>
      </c>
      <c r="H102" s="5" t="str">
        <f t="shared" si="14"/>
        <v/>
      </c>
      <c r="I102" s="5"/>
      <c r="J102" s="5" t="str">
        <f t="shared" si="15"/>
        <v/>
      </c>
      <c r="K102" s="5" t="str">
        <f t="shared" si="16"/>
        <v/>
      </c>
      <c r="L102" s="6" t="str">
        <f t="shared" si="17"/>
        <v/>
      </c>
      <c r="M102" s="7" t="str">
        <f t="shared" si="18"/>
        <v/>
      </c>
      <c r="N102" t="str">
        <f t="shared" si="19"/>
        <v/>
      </c>
      <c r="O102" t="str">
        <f t="shared" si="20"/>
        <v/>
      </c>
      <c r="P102" s="8" t="str">
        <f t="shared" si="21"/>
        <v/>
      </c>
    </row>
    <row r="103" spans="5:16">
      <c r="E103" s="5" t="str">
        <f t="shared" si="11"/>
        <v/>
      </c>
      <c r="F103" s="5" t="str">
        <f t="shared" si="12"/>
        <v/>
      </c>
      <c r="G103" s="5" t="str">
        <f t="shared" si="13"/>
        <v/>
      </c>
      <c r="H103" s="5" t="str">
        <f t="shared" si="14"/>
        <v/>
      </c>
      <c r="I103" s="5"/>
      <c r="J103" s="5" t="str">
        <f t="shared" si="15"/>
        <v/>
      </c>
      <c r="K103" s="5" t="str">
        <f t="shared" si="16"/>
        <v/>
      </c>
      <c r="L103" s="6" t="str">
        <f t="shared" si="17"/>
        <v/>
      </c>
      <c r="M103" s="7" t="str">
        <f t="shared" si="18"/>
        <v/>
      </c>
      <c r="N103" t="str">
        <f t="shared" si="19"/>
        <v/>
      </c>
      <c r="O103" t="str">
        <f t="shared" si="20"/>
        <v/>
      </c>
      <c r="P103" s="8" t="str">
        <f t="shared" si="21"/>
        <v/>
      </c>
    </row>
    <row r="104" spans="5:16">
      <c r="E104" s="5" t="str">
        <f t="shared" si="11"/>
        <v/>
      </c>
      <c r="F104" s="5" t="str">
        <f t="shared" si="12"/>
        <v/>
      </c>
      <c r="G104" s="5" t="str">
        <f t="shared" si="13"/>
        <v/>
      </c>
      <c r="H104" s="5" t="str">
        <f t="shared" si="14"/>
        <v/>
      </c>
      <c r="I104" s="5"/>
      <c r="J104" s="5" t="str">
        <f t="shared" si="15"/>
        <v/>
      </c>
      <c r="K104" s="5" t="str">
        <f t="shared" si="16"/>
        <v/>
      </c>
      <c r="L104" s="6" t="str">
        <f t="shared" si="17"/>
        <v/>
      </c>
      <c r="M104" s="7" t="str">
        <f t="shared" si="18"/>
        <v/>
      </c>
      <c r="N104" t="str">
        <f t="shared" si="19"/>
        <v/>
      </c>
      <c r="O104" t="str">
        <f t="shared" si="20"/>
        <v/>
      </c>
      <c r="P104" s="8" t="str">
        <f t="shared" si="21"/>
        <v/>
      </c>
    </row>
    <row r="105" spans="5:16">
      <c r="E105" s="5" t="str">
        <f t="shared" si="11"/>
        <v/>
      </c>
      <c r="F105" s="5" t="str">
        <f t="shared" si="12"/>
        <v/>
      </c>
      <c r="G105" s="5" t="str">
        <f t="shared" si="13"/>
        <v/>
      </c>
      <c r="H105" s="5" t="str">
        <f t="shared" si="14"/>
        <v/>
      </c>
      <c r="I105" s="5"/>
      <c r="J105" s="5" t="str">
        <f t="shared" si="15"/>
        <v/>
      </c>
      <c r="K105" s="5" t="str">
        <f t="shared" si="16"/>
        <v/>
      </c>
      <c r="L105" s="6" t="str">
        <f t="shared" si="17"/>
        <v/>
      </c>
      <c r="M105" s="7" t="str">
        <f t="shared" si="18"/>
        <v/>
      </c>
      <c r="N105" t="str">
        <f t="shared" si="19"/>
        <v/>
      </c>
      <c r="O105" t="str">
        <f t="shared" si="20"/>
        <v/>
      </c>
      <c r="P105" s="8" t="str">
        <f t="shared" si="21"/>
        <v/>
      </c>
    </row>
    <row r="106" spans="5:16">
      <c r="E106" s="5" t="str">
        <f t="shared" si="11"/>
        <v/>
      </c>
      <c r="F106" s="5" t="str">
        <f t="shared" si="12"/>
        <v/>
      </c>
      <c r="G106" s="5" t="str">
        <f t="shared" si="13"/>
        <v/>
      </c>
      <c r="H106" s="5" t="str">
        <f t="shared" si="14"/>
        <v/>
      </c>
      <c r="I106" s="5"/>
      <c r="J106" s="5" t="str">
        <f t="shared" si="15"/>
        <v/>
      </c>
      <c r="K106" s="5" t="str">
        <f t="shared" si="16"/>
        <v/>
      </c>
      <c r="L106" s="6" t="str">
        <f t="shared" si="17"/>
        <v/>
      </c>
      <c r="M106" s="7" t="str">
        <f t="shared" si="18"/>
        <v/>
      </c>
      <c r="N106" t="str">
        <f t="shared" si="19"/>
        <v/>
      </c>
      <c r="O106" t="str">
        <f t="shared" si="20"/>
        <v/>
      </c>
      <c r="P106" s="8" t="str">
        <f t="shared" si="21"/>
        <v/>
      </c>
    </row>
    <row r="107" spans="5:16">
      <c r="E107" s="5" t="str">
        <f t="shared" si="11"/>
        <v/>
      </c>
      <c r="F107" s="5" t="str">
        <f t="shared" si="12"/>
        <v/>
      </c>
      <c r="G107" s="5" t="str">
        <f t="shared" si="13"/>
        <v/>
      </c>
      <c r="H107" s="5" t="str">
        <f t="shared" si="14"/>
        <v/>
      </c>
      <c r="I107" s="5"/>
      <c r="J107" s="5" t="str">
        <f t="shared" si="15"/>
        <v/>
      </c>
      <c r="K107" s="5" t="str">
        <f t="shared" si="16"/>
        <v/>
      </c>
      <c r="L107" s="6" t="str">
        <f t="shared" si="17"/>
        <v/>
      </c>
      <c r="M107" s="7" t="str">
        <f t="shared" si="18"/>
        <v/>
      </c>
      <c r="N107" t="str">
        <f t="shared" si="19"/>
        <v/>
      </c>
      <c r="O107" t="str">
        <f t="shared" si="20"/>
        <v/>
      </c>
      <c r="P107" s="8" t="str">
        <f t="shared" si="21"/>
        <v/>
      </c>
    </row>
    <row r="108" spans="5:16">
      <c r="E108" s="5" t="str">
        <f t="shared" si="11"/>
        <v/>
      </c>
      <c r="F108" s="5" t="str">
        <f t="shared" si="12"/>
        <v/>
      </c>
      <c r="G108" s="5" t="str">
        <f t="shared" si="13"/>
        <v/>
      </c>
      <c r="H108" s="5" t="str">
        <f t="shared" si="14"/>
        <v/>
      </c>
      <c r="I108" s="5"/>
      <c r="J108" s="5" t="str">
        <f t="shared" si="15"/>
        <v/>
      </c>
      <c r="K108" s="5" t="str">
        <f t="shared" si="16"/>
        <v/>
      </c>
      <c r="L108" s="6" t="str">
        <f t="shared" si="17"/>
        <v/>
      </c>
      <c r="M108" s="7" t="str">
        <f t="shared" si="18"/>
        <v/>
      </c>
      <c r="N108" t="str">
        <f t="shared" si="19"/>
        <v/>
      </c>
      <c r="O108" t="str">
        <f t="shared" si="20"/>
        <v/>
      </c>
      <c r="P108" s="8" t="str">
        <f t="shared" si="21"/>
        <v/>
      </c>
    </row>
    <row r="109" spans="5:16">
      <c r="E109" s="5" t="str">
        <f t="shared" si="11"/>
        <v/>
      </c>
      <c r="F109" s="5" t="str">
        <f t="shared" si="12"/>
        <v/>
      </c>
      <c r="G109" s="5" t="str">
        <f t="shared" si="13"/>
        <v/>
      </c>
      <c r="H109" s="5" t="str">
        <f t="shared" si="14"/>
        <v/>
      </c>
      <c r="I109" s="5"/>
      <c r="J109" s="5" t="str">
        <f t="shared" si="15"/>
        <v/>
      </c>
      <c r="K109" s="5" t="str">
        <f t="shared" si="16"/>
        <v/>
      </c>
      <c r="L109" s="6" t="str">
        <f t="shared" si="17"/>
        <v/>
      </c>
      <c r="M109" s="7" t="str">
        <f t="shared" si="18"/>
        <v/>
      </c>
      <c r="N109" t="str">
        <f t="shared" si="19"/>
        <v/>
      </c>
      <c r="O109" t="str">
        <f t="shared" si="20"/>
        <v/>
      </c>
      <c r="P109" s="8" t="str">
        <f t="shared" si="21"/>
        <v/>
      </c>
    </row>
    <row r="110" spans="5:16">
      <c r="E110" s="5" t="str">
        <f t="shared" si="11"/>
        <v/>
      </c>
      <c r="F110" s="5" t="str">
        <f t="shared" si="12"/>
        <v/>
      </c>
      <c r="G110" s="5" t="str">
        <f t="shared" si="13"/>
        <v/>
      </c>
      <c r="H110" s="5" t="str">
        <f t="shared" si="14"/>
        <v/>
      </c>
      <c r="I110" s="5"/>
      <c r="J110" s="5" t="str">
        <f t="shared" si="15"/>
        <v/>
      </c>
      <c r="K110" s="5" t="str">
        <f t="shared" si="16"/>
        <v/>
      </c>
      <c r="L110" s="6" t="str">
        <f t="shared" si="17"/>
        <v/>
      </c>
      <c r="M110" s="7" t="str">
        <f t="shared" si="18"/>
        <v/>
      </c>
      <c r="N110" t="str">
        <f t="shared" si="19"/>
        <v/>
      </c>
      <c r="O110" t="str">
        <f t="shared" si="20"/>
        <v/>
      </c>
      <c r="P110" s="8" t="str">
        <f t="shared" si="21"/>
        <v/>
      </c>
    </row>
    <row r="111" spans="5:16">
      <c r="E111" s="5" t="str">
        <f t="shared" si="11"/>
        <v/>
      </c>
      <c r="F111" s="5" t="str">
        <f t="shared" si="12"/>
        <v/>
      </c>
      <c r="G111" s="5" t="str">
        <f t="shared" si="13"/>
        <v/>
      </c>
      <c r="H111" s="5" t="str">
        <f t="shared" si="14"/>
        <v/>
      </c>
      <c r="I111" s="5"/>
      <c r="J111" s="5" t="str">
        <f t="shared" si="15"/>
        <v/>
      </c>
      <c r="K111" s="5" t="str">
        <f t="shared" si="16"/>
        <v/>
      </c>
      <c r="L111" s="6" t="str">
        <f t="shared" si="17"/>
        <v/>
      </c>
      <c r="M111" s="7" t="str">
        <f t="shared" si="18"/>
        <v/>
      </c>
      <c r="N111" t="str">
        <f t="shared" si="19"/>
        <v/>
      </c>
      <c r="O111" t="str">
        <f t="shared" si="20"/>
        <v/>
      </c>
      <c r="P111" s="8" t="str">
        <f t="shared" si="21"/>
        <v/>
      </c>
    </row>
    <row r="112" spans="5:16">
      <c r="E112" s="5" t="str">
        <f t="shared" si="11"/>
        <v/>
      </c>
      <c r="F112" s="5" t="str">
        <f t="shared" si="12"/>
        <v/>
      </c>
      <c r="G112" s="5" t="str">
        <f t="shared" si="13"/>
        <v/>
      </c>
      <c r="H112" s="5" t="str">
        <f t="shared" si="14"/>
        <v/>
      </c>
      <c r="I112" s="5"/>
      <c r="J112" s="5" t="str">
        <f t="shared" si="15"/>
        <v/>
      </c>
      <c r="K112" s="5" t="str">
        <f t="shared" si="16"/>
        <v/>
      </c>
      <c r="L112" s="6" t="str">
        <f t="shared" si="17"/>
        <v/>
      </c>
      <c r="M112" s="7" t="str">
        <f t="shared" si="18"/>
        <v/>
      </c>
      <c r="N112" t="str">
        <f t="shared" si="19"/>
        <v/>
      </c>
      <c r="O112" t="str">
        <f t="shared" si="20"/>
        <v/>
      </c>
      <c r="P112" s="8" t="str">
        <f t="shared" si="21"/>
        <v/>
      </c>
    </row>
    <row r="113" spans="5:16">
      <c r="E113" s="5" t="str">
        <f t="shared" si="11"/>
        <v/>
      </c>
      <c r="F113" s="5" t="str">
        <f t="shared" si="12"/>
        <v/>
      </c>
      <c r="G113" s="5" t="str">
        <f t="shared" si="13"/>
        <v/>
      </c>
      <c r="H113" s="5" t="str">
        <f t="shared" si="14"/>
        <v/>
      </c>
      <c r="I113" s="5"/>
      <c r="J113" s="5" t="str">
        <f t="shared" si="15"/>
        <v/>
      </c>
      <c r="K113" s="5" t="str">
        <f t="shared" si="16"/>
        <v/>
      </c>
      <c r="L113" s="6" t="str">
        <f t="shared" si="17"/>
        <v/>
      </c>
      <c r="M113" s="7" t="str">
        <f t="shared" si="18"/>
        <v/>
      </c>
      <c r="N113" t="str">
        <f t="shared" si="19"/>
        <v/>
      </c>
      <c r="O113" t="str">
        <f t="shared" si="20"/>
        <v/>
      </c>
      <c r="P113" s="8" t="str">
        <f t="shared" si="21"/>
        <v/>
      </c>
    </row>
    <row r="114" spans="5:16">
      <c r="E114" s="5" t="str">
        <f t="shared" si="11"/>
        <v/>
      </c>
      <c r="F114" s="5" t="str">
        <f t="shared" si="12"/>
        <v/>
      </c>
      <c r="G114" s="5" t="str">
        <f t="shared" si="13"/>
        <v/>
      </c>
      <c r="H114" s="5" t="str">
        <f t="shared" si="14"/>
        <v/>
      </c>
      <c r="I114" s="5"/>
      <c r="J114" s="5" t="str">
        <f t="shared" si="15"/>
        <v/>
      </c>
      <c r="K114" s="5" t="str">
        <f t="shared" si="16"/>
        <v/>
      </c>
      <c r="L114" s="6" t="str">
        <f t="shared" si="17"/>
        <v/>
      </c>
      <c r="M114" s="7" t="str">
        <f t="shared" si="18"/>
        <v/>
      </c>
      <c r="N114" t="str">
        <f t="shared" si="19"/>
        <v/>
      </c>
      <c r="O114" t="str">
        <f t="shared" si="20"/>
        <v/>
      </c>
      <c r="P114" s="8" t="str">
        <f t="shared" si="21"/>
        <v/>
      </c>
    </row>
    <row r="115" spans="5:16">
      <c r="E115" s="5" t="str">
        <f t="shared" si="11"/>
        <v/>
      </c>
      <c r="F115" s="5" t="str">
        <f t="shared" si="12"/>
        <v/>
      </c>
      <c r="G115" s="5" t="str">
        <f t="shared" si="13"/>
        <v/>
      </c>
      <c r="H115" s="5" t="str">
        <f t="shared" si="14"/>
        <v/>
      </c>
      <c r="I115" s="5"/>
      <c r="J115" s="5" t="str">
        <f t="shared" si="15"/>
        <v/>
      </c>
      <c r="K115" s="5" t="str">
        <f t="shared" si="16"/>
        <v/>
      </c>
      <c r="L115" s="6" t="str">
        <f t="shared" si="17"/>
        <v/>
      </c>
      <c r="M115" s="7" t="str">
        <f t="shared" si="18"/>
        <v/>
      </c>
      <c r="N115" t="str">
        <f t="shared" si="19"/>
        <v/>
      </c>
      <c r="O115" t="str">
        <f t="shared" si="20"/>
        <v/>
      </c>
      <c r="P115" s="8" t="str">
        <f t="shared" si="21"/>
        <v/>
      </c>
    </row>
    <row r="116" spans="5:16">
      <c r="E116" s="5" t="str">
        <f t="shared" si="11"/>
        <v/>
      </c>
      <c r="F116" s="5" t="str">
        <f t="shared" si="12"/>
        <v/>
      </c>
      <c r="G116" s="5" t="str">
        <f t="shared" si="13"/>
        <v/>
      </c>
      <c r="H116" s="5" t="str">
        <f t="shared" si="14"/>
        <v/>
      </c>
      <c r="I116" s="5"/>
      <c r="J116" s="5" t="str">
        <f t="shared" si="15"/>
        <v/>
      </c>
      <c r="K116" s="5" t="str">
        <f t="shared" si="16"/>
        <v/>
      </c>
      <c r="L116" s="6" t="str">
        <f t="shared" si="17"/>
        <v/>
      </c>
      <c r="M116" s="7" t="str">
        <f t="shared" si="18"/>
        <v/>
      </c>
      <c r="N116" t="str">
        <f t="shared" si="19"/>
        <v/>
      </c>
      <c r="O116" t="str">
        <f t="shared" si="20"/>
        <v/>
      </c>
      <c r="P116" s="8" t="str">
        <f t="shared" si="21"/>
        <v/>
      </c>
    </row>
    <row r="117" spans="5:16">
      <c r="E117" s="5" t="str">
        <f t="shared" si="11"/>
        <v/>
      </c>
      <c r="F117" s="5" t="str">
        <f t="shared" si="12"/>
        <v/>
      </c>
      <c r="G117" s="5" t="str">
        <f t="shared" si="13"/>
        <v/>
      </c>
      <c r="H117" s="5" t="str">
        <f t="shared" si="14"/>
        <v/>
      </c>
      <c r="I117" s="5"/>
      <c r="J117" s="5" t="str">
        <f t="shared" si="15"/>
        <v/>
      </c>
      <c r="K117" s="5" t="str">
        <f t="shared" si="16"/>
        <v/>
      </c>
      <c r="L117" s="6" t="str">
        <f t="shared" si="17"/>
        <v/>
      </c>
      <c r="M117" s="7" t="str">
        <f t="shared" si="18"/>
        <v/>
      </c>
      <c r="N117" t="str">
        <f t="shared" si="19"/>
        <v/>
      </c>
      <c r="O117" t="str">
        <f t="shared" si="20"/>
        <v/>
      </c>
      <c r="P117" s="8" t="str">
        <f t="shared" si="21"/>
        <v/>
      </c>
    </row>
    <row r="118" spans="5:16">
      <c r="E118" s="5" t="str">
        <f t="shared" si="11"/>
        <v/>
      </c>
      <c r="F118" s="5" t="str">
        <f t="shared" si="12"/>
        <v/>
      </c>
      <c r="G118" s="5" t="str">
        <f t="shared" si="13"/>
        <v/>
      </c>
      <c r="H118" s="5" t="str">
        <f t="shared" si="14"/>
        <v/>
      </c>
      <c r="I118" s="5"/>
      <c r="J118" s="5" t="str">
        <f t="shared" si="15"/>
        <v/>
      </c>
      <c r="K118" s="5" t="str">
        <f t="shared" si="16"/>
        <v/>
      </c>
      <c r="L118" s="6" t="str">
        <f t="shared" si="17"/>
        <v/>
      </c>
      <c r="M118" s="7" t="str">
        <f t="shared" si="18"/>
        <v/>
      </c>
      <c r="N118" t="str">
        <f t="shared" si="19"/>
        <v/>
      </c>
      <c r="O118" t="str">
        <f t="shared" si="20"/>
        <v/>
      </c>
      <c r="P118" s="8" t="str">
        <f t="shared" si="21"/>
        <v/>
      </c>
    </row>
    <row r="119" spans="5:16">
      <c r="E119" s="5" t="str">
        <f t="shared" si="11"/>
        <v/>
      </c>
      <c r="F119" s="5" t="str">
        <f t="shared" si="12"/>
        <v/>
      </c>
      <c r="G119" s="5" t="str">
        <f t="shared" si="13"/>
        <v/>
      </c>
      <c r="H119" s="5" t="str">
        <f t="shared" si="14"/>
        <v/>
      </c>
      <c r="I119" s="5"/>
      <c r="J119" s="5" t="str">
        <f t="shared" si="15"/>
        <v/>
      </c>
      <c r="K119" s="5" t="str">
        <f t="shared" si="16"/>
        <v/>
      </c>
      <c r="L119" s="6" t="str">
        <f t="shared" si="17"/>
        <v/>
      </c>
      <c r="M119" s="7" t="str">
        <f t="shared" si="18"/>
        <v/>
      </c>
      <c r="N119" t="str">
        <f t="shared" si="19"/>
        <v/>
      </c>
      <c r="O119" t="str">
        <f t="shared" si="20"/>
        <v/>
      </c>
      <c r="P119" s="8" t="str">
        <f t="shared" si="21"/>
        <v/>
      </c>
    </row>
    <row r="120" spans="5:16">
      <c r="E120" s="5" t="str">
        <f t="shared" si="11"/>
        <v/>
      </c>
      <c r="F120" s="5" t="str">
        <f t="shared" si="12"/>
        <v/>
      </c>
      <c r="G120" s="5" t="str">
        <f t="shared" si="13"/>
        <v/>
      </c>
      <c r="H120" s="5" t="str">
        <f t="shared" si="14"/>
        <v/>
      </c>
      <c r="I120" s="5"/>
      <c r="J120" s="5" t="str">
        <f t="shared" si="15"/>
        <v/>
      </c>
      <c r="K120" s="5" t="str">
        <f t="shared" si="16"/>
        <v/>
      </c>
      <c r="L120" s="6" t="str">
        <f t="shared" si="17"/>
        <v/>
      </c>
      <c r="M120" s="7" t="str">
        <f t="shared" si="18"/>
        <v/>
      </c>
      <c r="N120" t="str">
        <f t="shared" si="19"/>
        <v/>
      </c>
      <c r="O120" t="str">
        <f t="shared" si="20"/>
        <v/>
      </c>
      <c r="P120" s="8" t="str">
        <f t="shared" si="21"/>
        <v/>
      </c>
    </row>
    <row r="121" spans="5:16">
      <c r="E121" s="5" t="str">
        <f t="shared" si="11"/>
        <v/>
      </c>
      <c r="F121" s="5" t="str">
        <f t="shared" si="12"/>
        <v/>
      </c>
      <c r="G121" s="5" t="str">
        <f t="shared" si="13"/>
        <v/>
      </c>
      <c r="H121" s="5" t="str">
        <f t="shared" si="14"/>
        <v/>
      </c>
      <c r="I121" s="5"/>
      <c r="J121" s="5" t="str">
        <f t="shared" si="15"/>
        <v/>
      </c>
      <c r="K121" s="5" t="str">
        <f t="shared" si="16"/>
        <v/>
      </c>
      <c r="L121" s="6" t="str">
        <f t="shared" si="17"/>
        <v/>
      </c>
      <c r="M121" s="7" t="str">
        <f t="shared" si="18"/>
        <v/>
      </c>
      <c r="N121" t="str">
        <f t="shared" si="19"/>
        <v/>
      </c>
      <c r="O121" t="str">
        <f t="shared" si="20"/>
        <v/>
      </c>
      <c r="P121" s="8" t="str">
        <f t="shared" si="21"/>
        <v/>
      </c>
    </row>
    <row r="122" spans="5:16">
      <c r="E122" s="5" t="str">
        <f t="shared" si="11"/>
        <v/>
      </c>
      <c r="F122" s="5" t="str">
        <f t="shared" si="12"/>
        <v/>
      </c>
      <c r="G122" s="5" t="str">
        <f t="shared" si="13"/>
        <v/>
      </c>
      <c r="H122" s="5" t="str">
        <f t="shared" si="14"/>
        <v/>
      </c>
      <c r="I122" s="5"/>
      <c r="J122" s="5" t="str">
        <f t="shared" si="15"/>
        <v/>
      </c>
      <c r="K122" s="5" t="str">
        <f t="shared" si="16"/>
        <v/>
      </c>
      <c r="L122" s="6" t="str">
        <f t="shared" si="17"/>
        <v/>
      </c>
      <c r="M122" s="7" t="str">
        <f t="shared" si="18"/>
        <v/>
      </c>
      <c r="N122" t="str">
        <f t="shared" si="19"/>
        <v/>
      </c>
      <c r="O122" t="str">
        <f t="shared" si="20"/>
        <v/>
      </c>
      <c r="P122" s="8" t="str">
        <f t="shared" si="21"/>
        <v/>
      </c>
    </row>
    <row r="123" spans="5:16">
      <c r="E123" s="5" t="str">
        <f t="shared" si="11"/>
        <v/>
      </c>
      <c r="F123" s="5" t="str">
        <f t="shared" si="12"/>
        <v/>
      </c>
      <c r="G123" s="5" t="str">
        <f t="shared" si="13"/>
        <v/>
      </c>
      <c r="H123" s="5" t="str">
        <f t="shared" si="14"/>
        <v/>
      </c>
      <c r="I123" s="5"/>
      <c r="J123" s="5" t="str">
        <f t="shared" si="15"/>
        <v/>
      </c>
      <c r="K123" s="5" t="str">
        <f t="shared" si="16"/>
        <v/>
      </c>
      <c r="L123" s="6" t="str">
        <f t="shared" si="17"/>
        <v/>
      </c>
      <c r="M123" s="7" t="str">
        <f t="shared" si="18"/>
        <v/>
      </c>
      <c r="N123" t="str">
        <f t="shared" si="19"/>
        <v/>
      </c>
      <c r="O123" t="str">
        <f t="shared" si="20"/>
        <v/>
      </c>
      <c r="P123" s="8" t="str">
        <f t="shared" si="21"/>
        <v/>
      </c>
    </row>
    <row r="124" spans="5:16">
      <c r="E124" s="5" t="str">
        <f t="shared" si="11"/>
        <v/>
      </c>
      <c r="F124" s="5" t="str">
        <f t="shared" si="12"/>
        <v/>
      </c>
      <c r="G124" s="5" t="str">
        <f t="shared" si="13"/>
        <v/>
      </c>
      <c r="H124" s="5" t="str">
        <f t="shared" si="14"/>
        <v/>
      </c>
      <c r="I124" s="5"/>
      <c r="J124" s="5" t="str">
        <f t="shared" si="15"/>
        <v/>
      </c>
      <c r="K124" s="5" t="str">
        <f t="shared" si="16"/>
        <v/>
      </c>
      <c r="L124" s="6" t="str">
        <f t="shared" si="17"/>
        <v/>
      </c>
      <c r="M124" s="7" t="str">
        <f t="shared" si="18"/>
        <v/>
      </c>
      <c r="N124" t="str">
        <f t="shared" si="19"/>
        <v/>
      </c>
      <c r="O124" t="str">
        <f t="shared" si="20"/>
        <v/>
      </c>
      <c r="P124" s="8" t="str">
        <f t="shared" si="21"/>
        <v/>
      </c>
    </row>
    <row r="125" spans="5:16">
      <c r="E125" s="5" t="str">
        <f t="shared" si="11"/>
        <v/>
      </c>
      <c r="F125" s="5" t="str">
        <f t="shared" si="12"/>
        <v/>
      </c>
      <c r="G125" s="5" t="str">
        <f t="shared" si="13"/>
        <v/>
      </c>
      <c r="H125" s="5" t="str">
        <f t="shared" si="14"/>
        <v/>
      </c>
      <c r="I125" s="5"/>
      <c r="J125" s="5" t="str">
        <f t="shared" si="15"/>
        <v/>
      </c>
      <c r="K125" s="5" t="str">
        <f t="shared" si="16"/>
        <v/>
      </c>
      <c r="L125" s="6" t="str">
        <f t="shared" si="17"/>
        <v/>
      </c>
      <c r="M125" s="7" t="str">
        <f t="shared" si="18"/>
        <v/>
      </c>
      <c r="N125" t="str">
        <f t="shared" si="19"/>
        <v/>
      </c>
      <c r="O125" t="str">
        <f t="shared" si="20"/>
        <v/>
      </c>
      <c r="P125" s="8" t="str">
        <f t="shared" si="21"/>
        <v/>
      </c>
    </row>
    <row r="126" spans="5:16">
      <c r="E126" s="5" t="str">
        <f t="shared" si="11"/>
        <v/>
      </c>
      <c r="F126" s="5" t="str">
        <f t="shared" si="12"/>
        <v/>
      </c>
      <c r="G126" s="5" t="str">
        <f t="shared" si="13"/>
        <v/>
      </c>
      <c r="H126" s="5" t="str">
        <f t="shared" si="14"/>
        <v/>
      </c>
      <c r="I126" s="5"/>
      <c r="J126" s="5" t="str">
        <f t="shared" si="15"/>
        <v/>
      </c>
      <c r="K126" s="5" t="str">
        <f t="shared" si="16"/>
        <v/>
      </c>
      <c r="L126" s="6" t="str">
        <f t="shared" si="17"/>
        <v/>
      </c>
      <c r="M126" s="7" t="str">
        <f t="shared" si="18"/>
        <v/>
      </c>
      <c r="N126" t="str">
        <f t="shared" si="19"/>
        <v/>
      </c>
      <c r="O126" t="str">
        <f t="shared" si="20"/>
        <v/>
      </c>
      <c r="P126" s="8" t="str">
        <f t="shared" si="21"/>
        <v/>
      </c>
    </row>
    <row r="127" spans="5:16">
      <c r="E127" s="5" t="str">
        <f t="shared" si="11"/>
        <v/>
      </c>
      <c r="F127" s="5" t="str">
        <f t="shared" si="12"/>
        <v/>
      </c>
      <c r="G127" s="5" t="str">
        <f t="shared" si="13"/>
        <v/>
      </c>
      <c r="H127" s="5" t="str">
        <f t="shared" si="14"/>
        <v/>
      </c>
      <c r="I127" s="5"/>
      <c r="J127" s="5" t="str">
        <f t="shared" si="15"/>
        <v/>
      </c>
      <c r="K127" s="5" t="str">
        <f t="shared" si="16"/>
        <v/>
      </c>
      <c r="L127" s="6" t="str">
        <f t="shared" si="17"/>
        <v/>
      </c>
      <c r="M127" s="7" t="str">
        <f t="shared" si="18"/>
        <v/>
      </c>
      <c r="N127" t="str">
        <f t="shared" si="19"/>
        <v/>
      </c>
      <c r="O127" t="str">
        <f t="shared" si="20"/>
        <v/>
      </c>
      <c r="P127" s="8" t="str">
        <f t="shared" si="21"/>
        <v/>
      </c>
    </row>
    <row r="128" spans="5:16">
      <c r="E128" s="5" t="str">
        <f t="shared" si="11"/>
        <v/>
      </c>
      <c r="F128" s="5" t="str">
        <f t="shared" si="12"/>
        <v/>
      </c>
      <c r="G128" s="5" t="str">
        <f t="shared" si="13"/>
        <v/>
      </c>
      <c r="H128" s="5" t="str">
        <f t="shared" si="14"/>
        <v/>
      </c>
      <c r="I128" s="5"/>
      <c r="J128" s="5" t="str">
        <f t="shared" si="15"/>
        <v/>
      </c>
      <c r="K128" s="5" t="str">
        <f t="shared" si="16"/>
        <v/>
      </c>
      <c r="L128" s="6" t="str">
        <f t="shared" si="17"/>
        <v/>
      </c>
      <c r="M128" s="7" t="str">
        <f t="shared" si="18"/>
        <v/>
      </c>
      <c r="N128" t="str">
        <f t="shared" si="19"/>
        <v/>
      </c>
      <c r="O128" t="str">
        <f t="shared" si="20"/>
        <v/>
      </c>
      <c r="P128" s="8" t="str">
        <f t="shared" si="21"/>
        <v/>
      </c>
    </row>
    <row r="129" spans="5:16">
      <c r="E129" s="5" t="str">
        <f t="shared" si="11"/>
        <v/>
      </c>
      <c r="F129" s="5" t="str">
        <f t="shared" si="12"/>
        <v/>
      </c>
      <c r="G129" s="5" t="str">
        <f t="shared" si="13"/>
        <v/>
      </c>
      <c r="H129" s="5" t="str">
        <f t="shared" si="14"/>
        <v/>
      </c>
      <c r="I129" s="5"/>
      <c r="J129" s="5" t="str">
        <f t="shared" si="15"/>
        <v/>
      </c>
      <c r="K129" s="5" t="str">
        <f t="shared" si="16"/>
        <v/>
      </c>
      <c r="L129" s="6" t="str">
        <f t="shared" si="17"/>
        <v/>
      </c>
      <c r="M129" s="7" t="str">
        <f t="shared" si="18"/>
        <v/>
      </c>
      <c r="N129" t="str">
        <f t="shared" si="19"/>
        <v/>
      </c>
      <c r="O129" t="str">
        <f t="shared" si="20"/>
        <v/>
      </c>
      <c r="P129" s="8" t="str">
        <f t="shared" si="21"/>
        <v/>
      </c>
    </row>
    <row r="130" spans="5:16">
      <c r="E130" s="5" t="str">
        <f t="shared" ref="E130:E193" si="22">IF(OR(TRIM(B130&amp;"")="",TRIM(C130&amp;"")=""),"",IF(O130="无法匹配","无法匹配",IF(O130="Big","未上线",IF(O130="Extra Small",ROUND(P130*1000*0.025+3,2),IF(O130="Budget",ROUND(P130*1000*0.017+23,2),IF(O130="Small",ROUND(P130*1000*0.025+16,2),IF(O130="Premium Small",ROUND(P130*1000*0.025+22,2),IF(O130="Premium Big",ROUND(P130*1000*0.023+62,2),""))))))))</f>
        <v/>
      </c>
      <c r="F130" s="5" t="str">
        <f t="shared" ref="F130:F193" si="23">IF(TRIM(C130&amp;"")="","",ROUND(IFERROR(VALUE(C130),0)*IF((IFERROR(VALUE(C130),0)*$R$2)&lt;1500,12%,20%),2))</f>
        <v/>
      </c>
      <c r="G130" s="5" t="str">
        <f t="shared" ref="G130:G193" si="24">IF(TRIM(C130&amp;"")="","",3)</f>
        <v/>
      </c>
      <c r="H130" s="5" t="str">
        <f t="shared" ref="H130:H193" si="25">IF(TRIM(C130&amp;"")="","",ROUND(IFERROR(VALUE(C130),0)*2%,2))</f>
        <v/>
      </c>
      <c r="I130" s="5"/>
      <c r="J130" s="5" t="str">
        <f t="shared" ref="J130:J193" si="26">IF(TRIM(C130&amp;"")="","",ROUND(IFERROR(VALUE(C130),0)*2%,2))</f>
        <v/>
      </c>
      <c r="K130" s="5" t="str">
        <f t="shared" ref="K130:K193" si="27">IF(TRIM(C130&amp;"")="","",IF(OR(E130="未上线",E130="无法匹配"),E130,ROUND(IFERROR(VALUE(D130),0)+N(E130)+N(F130)+N(G130)+N(H130)+IFERROR(VALUE(I130),0)+N(J130),2)))</f>
        <v/>
      </c>
      <c r="L130" s="6" t="str">
        <f t="shared" ref="L130:L193" si="28">IF(TRIM(C130&amp;"")="","",IF(OR(E130="未上线",E130="无法匹配"),E130,ROUND(IFERROR(VALUE(C130),0)-K130,2)))</f>
        <v/>
      </c>
      <c r="M130" s="7" t="str">
        <f t="shared" ref="M130:M193" si="29">IF(TRIM(C130&amp;"")="","",IF(OR(E130="未上线",E130="无法匹配"),"",IF(IFERROR(VALUE(C130),0)=0,"",L130/IFERROR(VALUE(C130),0))))</f>
        <v/>
      </c>
      <c r="N130" t="str">
        <f t="shared" ref="N130:N193" si="30">IF(OR(TRIM(A130&amp;"")="",TRIM(C130&amp;"")=""),"",A130&amp;","&amp;ROUND(IFERROR(VALUE(C130),0)*2,0))</f>
        <v/>
      </c>
      <c r="O130" t="str">
        <f t="shared" ref="O130:O193" si="31">IF(OR(TRIM(B130&amp;"")="",TRIM(C130&amp;"")=""),"",IF(AND((IFERROR(VALUE(C130),0)*$R$2)&gt;=0,(IFERROR(VALUE(C130),0)*$R$2)&lt;1500,IFERROR(VALUE(B130),0)&gt;=0,IFERROR(VALUE(B130),0)&lt;=500),"Extra Small",IF(AND((IFERROR(VALUE(C130),0)*$R$2)&gt;=0,(IFERROR(VALUE(C130),0)*$R$2)&lt;1500,IFERROR(VALUE(B130),0)&gt;500,IFERROR(VALUE(B130),0)&lt;=30000),"Budget",IF(AND((IFERROR(VALUE(C130),0)*$R$2)&gt;=1500,(IFERROR(VALUE(C130),0)*$R$2)&lt;7000,IFERROR(VALUE(B130),0)&gt;=0,IFERROR(VALUE(B130),0)&lt;=2000),"Small",IF(AND((IFERROR(VALUE(C130),0)*$R$2)&gt;=1500,(IFERROR(VALUE(C130),0)*$R$2)&lt;7000,IFERROR(VALUE(B130),0)&gt;2000,IFERROR(VALUE(B130),0)&lt;=30000),"Big",IF(AND((IFERROR(VALUE(C130),0)*$R$2)&gt;=7000,(IFERROR(VALUE(C130),0)*$R$2)&lt;=250000,IFERROR(VALUE(B130),0)&gt;=0,IFERROR(VALUE(B130),0)&lt;=5000),"Premium Small",IF(AND((IFERROR(VALUE(C130),0)*$R$2)&gt;=7000,(IFERROR(VALUE(C130),0)*$R$2)&lt;=250000,IFERROR(VALUE(B130),0)&gt;5000,IFERROR(VALUE(B130),0)&lt;=30000),"Premium Big","无法匹配")))))))</f>
        <v/>
      </c>
      <c r="P130" s="8" t="str">
        <f t="shared" ref="P130:P193" si="32">IF(O130="","",IF(O130="无法匹配","",IF(OR(O130="Extra Small",O130="Budget"),ROUND(IFERROR(VALUE(B130),0)/1000,3),ROUND(MAX(IFERROR(VALUE(B130),0)/1000,(20*20*20/12000)),3))))</f>
        <v/>
      </c>
    </row>
    <row r="131" spans="5:16">
      <c r="E131" s="5" t="str">
        <f t="shared" si="22"/>
        <v/>
      </c>
      <c r="F131" s="5" t="str">
        <f t="shared" si="23"/>
        <v/>
      </c>
      <c r="G131" s="5" t="str">
        <f t="shared" si="24"/>
        <v/>
      </c>
      <c r="H131" s="5" t="str">
        <f t="shared" si="25"/>
        <v/>
      </c>
      <c r="I131" s="5"/>
      <c r="J131" s="5" t="str">
        <f t="shared" si="26"/>
        <v/>
      </c>
      <c r="K131" s="5" t="str">
        <f t="shared" si="27"/>
        <v/>
      </c>
      <c r="L131" s="6" t="str">
        <f t="shared" si="28"/>
        <v/>
      </c>
      <c r="M131" s="7" t="str">
        <f t="shared" si="29"/>
        <v/>
      </c>
      <c r="N131" t="str">
        <f t="shared" si="30"/>
        <v/>
      </c>
      <c r="O131" t="str">
        <f t="shared" si="31"/>
        <v/>
      </c>
      <c r="P131" s="8" t="str">
        <f t="shared" si="32"/>
        <v/>
      </c>
    </row>
    <row r="132" spans="5:16">
      <c r="E132" s="5" t="str">
        <f t="shared" si="22"/>
        <v/>
      </c>
      <c r="F132" s="5" t="str">
        <f t="shared" si="23"/>
        <v/>
      </c>
      <c r="G132" s="5" t="str">
        <f t="shared" si="24"/>
        <v/>
      </c>
      <c r="H132" s="5" t="str">
        <f t="shared" si="25"/>
        <v/>
      </c>
      <c r="I132" s="5"/>
      <c r="J132" s="5" t="str">
        <f t="shared" si="26"/>
        <v/>
      </c>
      <c r="K132" s="5" t="str">
        <f t="shared" si="27"/>
        <v/>
      </c>
      <c r="L132" s="6" t="str">
        <f t="shared" si="28"/>
        <v/>
      </c>
      <c r="M132" s="7" t="str">
        <f t="shared" si="29"/>
        <v/>
      </c>
      <c r="N132" t="str">
        <f t="shared" si="30"/>
        <v/>
      </c>
      <c r="O132" t="str">
        <f t="shared" si="31"/>
        <v/>
      </c>
      <c r="P132" s="8" t="str">
        <f t="shared" si="32"/>
        <v/>
      </c>
    </row>
    <row r="133" spans="5:16">
      <c r="E133" s="5" t="str">
        <f t="shared" si="22"/>
        <v/>
      </c>
      <c r="F133" s="5" t="str">
        <f t="shared" si="23"/>
        <v/>
      </c>
      <c r="G133" s="5" t="str">
        <f t="shared" si="24"/>
        <v/>
      </c>
      <c r="H133" s="5" t="str">
        <f t="shared" si="25"/>
        <v/>
      </c>
      <c r="I133" s="5"/>
      <c r="J133" s="5" t="str">
        <f t="shared" si="26"/>
        <v/>
      </c>
      <c r="K133" s="5" t="str">
        <f t="shared" si="27"/>
        <v/>
      </c>
      <c r="L133" s="6" t="str">
        <f t="shared" si="28"/>
        <v/>
      </c>
      <c r="M133" s="7" t="str">
        <f t="shared" si="29"/>
        <v/>
      </c>
      <c r="N133" t="str">
        <f t="shared" si="30"/>
        <v/>
      </c>
      <c r="O133" t="str">
        <f t="shared" si="31"/>
        <v/>
      </c>
      <c r="P133" s="8" t="str">
        <f t="shared" si="32"/>
        <v/>
      </c>
    </row>
    <row r="134" spans="5:16">
      <c r="E134" s="5" t="str">
        <f t="shared" si="22"/>
        <v/>
      </c>
      <c r="F134" s="5" t="str">
        <f t="shared" si="23"/>
        <v/>
      </c>
      <c r="G134" s="5" t="str">
        <f t="shared" si="24"/>
        <v/>
      </c>
      <c r="H134" s="5" t="str">
        <f t="shared" si="25"/>
        <v/>
      </c>
      <c r="I134" s="5"/>
      <c r="J134" s="5" t="str">
        <f t="shared" si="26"/>
        <v/>
      </c>
      <c r="K134" s="5" t="str">
        <f t="shared" si="27"/>
        <v/>
      </c>
      <c r="L134" s="6" t="str">
        <f t="shared" si="28"/>
        <v/>
      </c>
      <c r="M134" s="7" t="str">
        <f t="shared" si="29"/>
        <v/>
      </c>
      <c r="N134" t="str">
        <f t="shared" si="30"/>
        <v/>
      </c>
      <c r="O134" t="str">
        <f t="shared" si="31"/>
        <v/>
      </c>
      <c r="P134" s="8" t="str">
        <f t="shared" si="32"/>
        <v/>
      </c>
    </row>
    <row r="135" spans="5:16">
      <c r="E135" s="5" t="str">
        <f t="shared" si="22"/>
        <v/>
      </c>
      <c r="F135" s="5" t="str">
        <f t="shared" si="23"/>
        <v/>
      </c>
      <c r="G135" s="5" t="str">
        <f t="shared" si="24"/>
        <v/>
      </c>
      <c r="H135" s="5" t="str">
        <f t="shared" si="25"/>
        <v/>
      </c>
      <c r="I135" s="5"/>
      <c r="J135" s="5" t="str">
        <f t="shared" si="26"/>
        <v/>
      </c>
      <c r="K135" s="5" t="str">
        <f t="shared" si="27"/>
        <v/>
      </c>
      <c r="L135" s="6" t="str">
        <f t="shared" si="28"/>
        <v/>
      </c>
      <c r="M135" s="7" t="str">
        <f t="shared" si="29"/>
        <v/>
      </c>
      <c r="N135" t="str">
        <f t="shared" si="30"/>
        <v/>
      </c>
      <c r="O135" t="str">
        <f t="shared" si="31"/>
        <v/>
      </c>
      <c r="P135" s="8" t="str">
        <f t="shared" si="32"/>
        <v/>
      </c>
    </row>
    <row r="136" spans="5:16">
      <c r="E136" s="5" t="str">
        <f t="shared" si="22"/>
        <v/>
      </c>
      <c r="F136" s="5" t="str">
        <f t="shared" si="23"/>
        <v/>
      </c>
      <c r="G136" s="5" t="str">
        <f t="shared" si="24"/>
        <v/>
      </c>
      <c r="H136" s="5" t="str">
        <f t="shared" si="25"/>
        <v/>
      </c>
      <c r="I136" s="5"/>
      <c r="J136" s="5" t="str">
        <f t="shared" si="26"/>
        <v/>
      </c>
      <c r="K136" s="5" t="str">
        <f t="shared" si="27"/>
        <v/>
      </c>
      <c r="L136" s="6" t="str">
        <f t="shared" si="28"/>
        <v/>
      </c>
      <c r="M136" s="7" t="str">
        <f t="shared" si="29"/>
        <v/>
      </c>
      <c r="N136" t="str">
        <f t="shared" si="30"/>
        <v/>
      </c>
      <c r="O136" t="str">
        <f t="shared" si="31"/>
        <v/>
      </c>
      <c r="P136" s="8" t="str">
        <f t="shared" si="32"/>
        <v/>
      </c>
    </row>
    <row r="137" spans="5:16">
      <c r="E137" s="5" t="str">
        <f t="shared" si="22"/>
        <v/>
      </c>
      <c r="F137" s="5" t="str">
        <f t="shared" si="23"/>
        <v/>
      </c>
      <c r="G137" s="5" t="str">
        <f t="shared" si="24"/>
        <v/>
      </c>
      <c r="H137" s="5" t="str">
        <f t="shared" si="25"/>
        <v/>
      </c>
      <c r="I137" s="5"/>
      <c r="J137" s="5" t="str">
        <f t="shared" si="26"/>
        <v/>
      </c>
      <c r="K137" s="5" t="str">
        <f t="shared" si="27"/>
        <v/>
      </c>
      <c r="L137" s="6" t="str">
        <f t="shared" si="28"/>
        <v/>
      </c>
      <c r="M137" s="7" t="str">
        <f t="shared" si="29"/>
        <v/>
      </c>
      <c r="N137" t="str">
        <f t="shared" si="30"/>
        <v/>
      </c>
      <c r="O137" t="str">
        <f t="shared" si="31"/>
        <v/>
      </c>
      <c r="P137" s="8" t="str">
        <f t="shared" si="32"/>
        <v/>
      </c>
    </row>
    <row r="138" spans="5:16">
      <c r="E138" s="5" t="str">
        <f t="shared" si="22"/>
        <v/>
      </c>
      <c r="F138" s="5" t="str">
        <f t="shared" si="23"/>
        <v/>
      </c>
      <c r="G138" s="5" t="str">
        <f t="shared" si="24"/>
        <v/>
      </c>
      <c r="H138" s="5" t="str">
        <f t="shared" si="25"/>
        <v/>
      </c>
      <c r="I138" s="5"/>
      <c r="J138" s="5" t="str">
        <f t="shared" si="26"/>
        <v/>
      </c>
      <c r="K138" s="5" t="str">
        <f t="shared" si="27"/>
        <v/>
      </c>
      <c r="L138" s="6" t="str">
        <f t="shared" si="28"/>
        <v/>
      </c>
      <c r="M138" s="7" t="str">
        <f t="shared" si="29"/>
        <v/>
      </c>
      <c r="N138" t="str">
        <f t="shared" si="30"/>
        <v/>
      </c>
      <c r="O138" t="str">
        <f t="shared" si="31"/>
        <v/>
      </c>
      <c r="P138" s="8" t="str">
        <f t="shared" si="32"/>
        <v/>
      </c>
    </row>
    <row r="139" spans="5:16">
      <c r="E139" s="5" t="str">
        <f t="shared" si="22"/>
        <v/>
      </c>
      <c r="F139" s="5" t="str">
        <f t="shared" si="23"/>
        <v/>
      </c>
      <c r="G139" s="5" t="str">
        <f t="shared" si="24"/>
        <v/>
      </c>
      <c r="H139" s="5" t="str">
        <f t="shared" si="25"/>
        <v/>
      </c>
      <c r="I139" s="5"/>
      <c r="J139" s="5" t="str">
        <f t="shared" si="26"/>
        <v/>
      </c>
      <c r="K139" s="5" t="str">
        <f t="shared" si="27"/>
        <v/>
      </c>
      <c r="L139" s="6" t="str">
        <f t="shared" si="28"/>
        <v/>
      </c>
      <c r="M139" s="7" t="str">
        <f t="shared" si="29"/>
        <v/>
      </c>
      <c r="N139" t="str">
        <f t="shared" si="30"/>
        <v/>
      </c>
      <c r="O139" t="str">
        <f t="shared" si="31"/>
        <v/>
      </c>
      <c r="P139" s="8" t="str">
        <f t="shared" si="32"/>
        <v/>
      </c>
    </row>
    <row r="140" spans="5:16">
      <c r="E140" s="5" t="str">
        <f t="shared" si="22"/>
        <v/>
      </c>
      <c r="F140" s="5" t="str">
        <f t="shared" si="23"/>
        <v/>
      </c>
      <c r="G140" s="5" t="str">
        <f t="shared" si="24"/>
        <v/>
      </c>
      <c r="H140" s="5" t="str">
        <f t="shared" si="25"/>
        <v/>
      </c>
      <c r="I140" s="5"/>
      <c r="J140" s="5" t="str">
        <f t="shared" si="26"/>
        <v/>
      </c>
      <c r="K140" s="5" t="str">
        <f t="shared" si="27"/>
        <v/>
      </c>
      <c r="L140" s="6" t="str">
        <f t="shared" si="28"/>
        <v/>
      </c>
      <c r="M140" s="7" t="str">
        <f t="shared" si="29"/>
        <v/>
      </c>
      <c r="N140" t="str">
        <f t="shared" si="30"/>
        <v/>
      </c>
      <c r="O140" t="str">
        <f t="shared" si="31"/>
        <v/>
      </c>
      <c r="P140" s="8" t="str">
        <f t="shared" si="32"/>
        <v/>
      </c>
    </row>
    <row r="141" spans="5:16">
      <c r="E141" s="5" t="str">
        <f t="shared" si="22"/>
        <v/>
      </c>
      <c r="F141" s="5" t="str">
        <f t="shared" si="23"/>
        <v/>
      </c>
      <c r="G141" s="5" t="str">
        <f t="shared" si="24"/>
        <v/>
      </c>
      <c r="H141" s="5" t="str">
        <f t="shared" si="25"/>
        <v/>
      </c>
      <c r="I141" s="5"/>
      <c r="J141" s="5" t="str">
        <f t="shared" si="26"/>
        <v/>
      </c>
      <c r="K141" s="5" t="str">
        <f t="shared" si="27"/>
        <v/>
      </c>
      <c r="L141" s="6" t="str">
        <f t="shared" si="28"/>
        <v/>
      </c>
      <c r="M141" s="7" t="str">
        <f t="shared" si="29"/>
        <v/>
      </c>
      <c r="N141" t="str">
        <f t="shared" si="30"/>
        <v/>
      </c>
      <c r="O141" t="str">
        <f t="shared" si="31"/>
        <v/>
      </c>
      <c r="P141" s="8" t="str">
        <f t="shared" si="32"/>
        <v/>
      </c>
    </row>
    <row r="142" spans="5:16">
      <c r="E142" s="5" t="str">
        <f t="shared" si="22"/>
        <v/>
      </c>
      <c r="F142" s="5" t="str">
        <f t="shared" si="23"/>
        <v/>
      </c>
      <c r="G142" s="5" t="str">
        <f t="shared" si="24"/>
        <v/>
      </c>
      <c r="H142" s="5" t="str">
        <f t="shared" si="25"/>
        <v/>
      </c>
      <c r="I142" s="5"/>
      <c r="J142" s="5" t="str">
        <f t="shared" si="26"/>
        <v/>
      </c>
      <c r="K142" s="5" t="str">
        <f t="shared" si="27"/>
        <v/>
      </c>
      <c r="L142" s="6" t="str">
        <f t="shared" si="28"/>
        <v/>
      </c>
      <c r="M142" s="7" t="str">
        <f t="shared" si="29"/>
        <v/>
      </c>
      <c r="N142" t="str">
        <f t="shared" si="30"/>
        <v/>
      </c>
      <c r="O142" t="str">
        <f t="shared" si="31"/>
        <v/>
      </c>
      <c r="P142" s="8" t="str">
        <f t="shared" si="32"/>
        <v/>
      </c>
    </row>
    <row r="143" spans="5:16">
      <c r="E143" s="5" t="str">
        <f t="shared" si="22"/>
        <v/>
      </c>
      <c r="F143" s="5" t="str">
        <f t="shared" si="23"/>
        <v/>
      </c>
      <c r="G143" s="5" t="str">
        <f t="shared" si="24"/>
        <v/>
      </c>
      <c r="H143" s="5" t="str">
        <f t="shared" si="25"/>
        <v/>
      </c>
      <c r="I143" s="5"/>
      <c r="J143" s="5" t="str">
        <f t="shared" si="26"/>
        <v/>
      </c>
      <c r="K143" s="5" t="str">
        <f t="shared" si="27"/>
        <v/>
      </c>
      <c r="L143" s="6" t="str">
        <f t="shared" si="28"/>
        <v/>
      </c>
      <c r="M143" s="7" t="str">
        <f t="shared" si="29"/>
        <v/>
      </c>
      <c r="N143" t="str">
        <f t="shared" si="30"/>
        <v/>
      </c>
      <c r="O143" t="str">
        <f t="shared" si="31"/>
        <v/>
      </c>
      <c r="P143" s="8" t="str">
        <f t="shared" si="32"/>
        <v/>
      </c>
    </row>
    <row r="144" spans="5:16">
      <c r="E144" s="5" t="str">
        <f t="shared" si="22"/>
        <v/>
      </c>
      <c r="F144" s="5" t="str">
        <f t="shared" si="23"/>
        <v/>
      </c>
      <c r="G144" s="5" t="str">
        <f t="shared" si="24"/>
        <v/>
      </c>
      <c r="H144" s="5" t="str">
        <f t="shared" si="25"/>
        <v/>
      </c>
      <c r="I144" s="5"/>
      <c r="J144" s="5" t="str">
        <f t="shared" si="26"/>
        <v/>
      </c>
      <c r="K144" s="5" t="str">
        <f t="shared" si="27"/>
        <v/>
      </c>
      <c r="L144" s="6" t="str">
        <f t="shared" si="28"/>
        <v/>
      </c>
      <c r="M144" s="7" t="str">
        <f t="shared" si="29"/>
        <v/>
      </c>
      <c r="N144" t="str">
        <f t="shared" si="30"/>
        <v/>
      </c>
      <c r="O144" t="str">
        <f t="shared" si="31"/>
        <v/>
      </c>
      <c r="P144" s="8" t="str">
        <f t="shared" si="32"/>
        <v/>
      </c>
    </row>
    <row r="145" spans="5:16">
      <c r="E145" s="5" t="str">
        <f t="shared" si="22"/>
        <v/>
      </c>
      <c r="F145" s="5" t="str">
        <f t="shared" si="23"/>
        <v/>
      </c>
      <c r="G145" s="5" t="str">
        <f t="shared" si="24"/>
        <v/>
      </c>
      <c r="H145" s="5" t="str">
        <f t="shared" si="25"/>
        <v/>
      </c>
      <c r="J145" s="5" t="str">
        <f t="shared" si="26"/>
        <v/>
      </c>
      <c r="K145" s="5" t="str">
        <f>IF(TRIM(C145&amp;"")="","",IF(OR(E145="未上线",E145="无法匹配"),E145,ROUND(IFERROR(VALUE(D145),0)+N(E145)+N(F145)+N(G145)+N(H145)+IFERROR(VALUE(I146),0)+N(J145),2)))</f>
        <v/>
      </c>
      <c r="L145" s="6" t="str">
        <f t="shared" si="28"/>
        <v/>
      </c>
      <c r="M145" s="7" t="str">
        <f t="shared" si="29"/>
        <v/>
      </c>
      <c r="N145" t="str">
        <f t="shared" si="30"/>
        <v/>
      </c>
      <c r="O145" t="str">
        <f t="shared" si="31"/>
        <v/>
      </c>
      <c r="P145" s="8" t="str">
        <f t="shared" si="32"/>
        <v/>
      </c>
    </row>
    <row r="146" spans="5:16">
      <c r="E146" s="5" t="str">
        <f t="shared" si="22"/>
        <v/>
      </c>
      <c r="F146" s="5" t="str">
        <f t="shared" si="23"/>
        <v/>
      </c>
      <c r="G146" s="5" t="str">
        <f t="shared" si="24"/>
        <v/>
      </c>
      <c r="H146" s="5" t="str">
        <f t="shared" si="25"/>
        <v/>
      </c>
      <c r="I146" s="5"/>
      <c r="J146" s="5" t="str">
        <f t="shared" si="26"/>
        <v/>
      </c>
      <c r="K146" s="5" t="str">
        <f>IF(TRIM(C146&amp;"")="","",IF(OR(E146="未上线",E146="无法匹配"),E146,ROUND(IFERROR(VALUE(D146),0)+N(E146)+N(F146)+N(G146)+N(H146)+IFERROR(VALUE(#REF!),0)+N(J146),2)))</f>
        <v/>
      </c>
      <c r="L146" s="6" t="str">
        <f t="shared" si="28"/>
        <v/>
      </c>
      <c r="M146" s="7" t="str">
        <f t="shared" si="29"/>
        <v/>
      </c>
      <c r="N146" t="str">
        <f t="shared" si="30"/>
        <v/>
      </c>
      <c r="O146" t="str">
        <f t="shared" si="31"/>
        <v/>
      </c>
      <c r="P146" s="8" t="str">
        <f t="shared" si="32"/>
        <v/>
      </c>
    </row>
    <row r="147" spans="5:16">
      <c r="E147" s="5" t="str">
        <f t="shared" si="22"/>
        <v/>
      </c>
      <c r="F147" s="5" t="str">
        <f t="shared" si="23"/>
        <v/>
      </c>
      <c r="G147" s="5" t="str">
        <f t="shared" si="24"/>
        <v/>
      </c>
      <c r="H147" s="5" t="str">
        <f t="shared" si="25"/>
        <v/>
      </c>
      <c r="I147" s="5"/>
      <c r="J147" s="5" t="str">
        <f t="shared" si="26"/>
        <v/>
      </c>
      <c r="K147" s="5" t="str">
        <f t="shared" si="27"/>
        <v/>
      </c>
      <c r="L147" s="6" t="str">
        <f t="shared" si="28"/>
        <v/>
      </c>
      <c r="M147" s="7" t="str">
        <f t="shared" si="29"/>
        <v/>
      </c>
      <c r="N147" t="str">
        <f t="shared" si="30"/>
        <v/>
      </c>
      <c r="O147" t="str">
        <f t="shared" si="31"/>
        <v/>
      </c>
      <c r="P147" s="8" t="str">
        <f t="shared" si="32"/>
        <v/>
      </c>
    </row>
    <row r="148" spans="5:16">
      <c r="E148" s="5" t="str">
        <f t="shared" si="22"/>
        <v/>
      </c>
      <c r="F148" s="5" t="str">
        <f t="shared" si="23"/>
        <v/>
      </c>
      <c r="G148" s="5" t="str">
        <f t="shared" si="24"/>
        <v/>
      </c>
      <c r="H148" s="5" t="str">
        <f t="shared" si="25"/>
        <v/>
      </c>
      <c r="I148" s="5"/>
      <c r="J148" s="5" t="str">
        <f t="shared" si="26"/>
        <v/>
      </c>
      <c r="K148" s="5" t="str">
        <f t="shared" si="27"/>
        <v/>
      </c>
      <c r="L148" s="6" t="str">
        <f t="shared" si="28"/>
        <v/>
      </c>
      <c r="M148" s="7" t="str">
        <f t="shared" si="29"/>
        <v/>
      </c>
      <c r="N148" t="str">
        <f t="shared" si="30"/>
        <v/>
      </c>
      <c r="O148" t="str">
        <f t="shared" si="31"/>
        <v/>
      </c>
      <c r="P148" s="8" t="str">
        <f t="shared" si="32"/>
        <v/>
      </c>
    </row>
    <row r="149" spans="5:16">
      <c r="E149" s="5" t="str">
        <f t="shared" si="22"/>
        <v/>
      </c>
      <c r="F149" s="5" t="str">
        <f t="shared" si="23"/>
        <v/>
      </c>
      <c r="G149" s="5" t="str">
        <f t="shared" si="24"/>
        <v/>
      </c>
      <c r="H149" s="5" t="str">
        <f t="shared" si="25"/>
        <v/>
      </c>
      <c r="I149" s="5"/>
      <c r="J149" s="5" t="str">
        <f t="shared" si="26"/>
        <v/>
      </c>
      <c r="K149" s="5" t="str">
        <f t="shared" si="27"/>
        <v/>
      </c>
      <c r="L149" s="6" t="str">
        <f t="shared" si="28"/>
        <v/>
      </c>
      <c r="M149" s="7" t="str">
        <f t="shared" si="29"/>
        <v/>
      </c>
      <c r="N149" t="str">
        <f t="shared" si="30"/>
        <v/>
      </c>
      <c r="O149" t="str">
        <f t="shared" si="31"/>
        <v/>
      </c>
      <c r="P149" s="8" t="str">
        <f t="shared" si="32"/>
        <v/>
      </c>
    </row>
    <row r="150" spans="5:16">
      <c r="E150" s="5" t="str">
        <f t="shared" si="22"/>
        <v/>
      </c>
      <c r="F150" s="5" t="str">
        <f t="shared" si="23"/>
        <v/>
      </c>
      <c r="G150" s="5" t="str">
        <f t="shared" si="24"/>
        <v/>
      </c>
      <c r="H150" s="5" t="str">
        <f t="shared" si="25"/>
        <v/>
      </c>
      <c r="I150" s="5"/>
      <c r="J150" s="5" t="str">
        <f t="shared" si="26"/>
        <v/>
      </c>
      <c r="K150" s="5" t="str">
        <f t="shared" si="27"/>
        <v/>
      </c>
      <c r="L150" s="6" t="str">
        <f t="shared" si="28"/>
        <v/>
      </c>
      <c r="M150" s="7" t="str">
        <f t="shared" si="29"/>
        <v/>
      </c>
      <c r="N150" t="str">
        <f t="shared" si="30"/>
        <v/>
      </c>
      <c r="O150" t="str">
        <f t="shared" si="31"/>
        <v/>
      </c>
      <c r="P150" s="8" t="str">
        <f t="shared" si="32"/>
        <v/>
      </c>
    </row>
    <row r="151" spans="5:16">
      <c r="E151" s="5" t="str">
        <f t="shared" si="22"/>
        <v/>
      </c>
      <c r="F151" s="5" t="str">
        <f t="shared" si="23"/>
        <v/>
      </c>
      <c r="G151" s="5" t="str">
        <f t="shared" si="24"/>
        <v/>
      </c>
      <c r="H151" s="5" t="str">
        <f t="shared" si="25"/>
        <v/>
      </c>
      <c r="I151" s="5"/>
      <c r="J151" s="5" t="str">
        <f t="shared" si="26"/>
        <v/>
      </c>
      <c r="K151" s="5" t="str">
        <f t="shared" si="27"/>
        <v/>
      </c>
      <c r="L151" s="6" t="str">
        <f t="shared" si="28"/>
        <v/>
      </c>
      <c r="M151" s="7" t="str">
        <f t="shared" si="29"/>
        <v/>
      </c>
      <c r="N151" t="str">
        <f t="shared" si="30"/>
        <v/>
      </c>
      <c r="O151" t="str">
        <f t="shared" si="31"/>
        <v/>
      </c>
      <c r="P151" s="8" t="str">
        <f t="shared" si="32"/>
        <v/>
      </c>
    </row>
    <row r="152" spans="5:16">
      <c r="E152" s="5" t="str">
        <f t="shared" si="22"/>
        <v/>
      </c>
      <c r="F152" s="5" t="str">
        <f t="shared" si="23"/>
        <v/>
      </c>
      <c r="G152" s="5" t="str">
        <f t="shared" si="24"/>
        <v/>
      </c>
      <c r="H152" s="5" t="str">
        <f t="shared" si="25"/>
        <v/>
      </c>
      <c r="I152" s="5"/>
      <c r="J152" s="5" t="str">
        <f t="shared" si="26"/>
        <v/>
      </c>
      <c r="K152" s="5" t="str">
        <f t="shared" si="27"/>
        <v/>
      </c>
      <c r="L152" s="6" t="str">
        <f t="shared" si="28"/>
        <v/>
      </c>
      <c r="M152" s="7" t="str">
        <f t="shared" si="29"/>
        <v/>
      </c>
      <c r="N152" t="str">
        <f t="shared" si="30"/>
        <v/>
      </c>
      <c r="O152" t="str">
        <f t="shared" si="31"/>
        <v/>
      </c>
      <c r="P152" s="8" t="str">
        <f t="shared" si="32"/>
        <v/>
      </c>
    </row>
    <row r="153" spans="5:16">
      <c r="E153" s="5" t="str">
        <f t="shared" si="22"/>
        <v/>
      </c>
      <c r="F153" s="5" t="str">
        <f t="shared" si="23"/>
        <v/>
      </c>
      <c r="G153" s="5" t="str">
        <f t="shared" si="24"/>
        <v/>
      </c>
      <c r="H153" s="5" t="str">
        <f t="shared" si="25"/>
        <v/>
      </c>
      <c r="I153" s="5"/>
      <c r="J153" s="5" t="str">
        <f t="shared" si="26"/>
        <v/>
      </c>
      <c r="K153" s="5" t="str">
        <f t="shared" si="27"/>
        <v/>
      </c>
      <c r="L153" s="6" t="str">
        <f t="shared" si="28"/>
        <v/>
      </c>
      <c r="M153" s="7" t="str">
        <f t="shared" si="29"/>
        <v/>
      </c>
      <c r="N153" t="str">
        <f t="shared" si="30"/>
        <v/>
      </c>
      <c r="O153" t="str">
        <f t="shared" si="31"/>
        <v/>
      </c>
      <c r="P153" s="8" t="str">
        <f t="shared" si="32"/>
        <v/>
      </c>
    </row>
    <row r="154" spans="5:16">
      <c r="E154" s="5" t="str">
        <f t="shared" si="22"/>
        <v/>
      </c>
      <c r="F154" s="5" t="str">
        <f t="shared" si="23"/>
        <v/>
      </c>
      <c r="G154" s="5" t="str">
        <f t="shared" si="24"/>
        <v/>
      </c>
      <c r="H154" s="5" t="str">
        <f t="shared" si="25"/>
        <v/>
      </c>
      <c r="I154" s="5"/>
      <c r="J154" s="5" t="str">
        <f t="shared" si="26"/>
        <v/>
      </c>
      <c r="K154" s="5" t="str">
        <f t="shared" si="27"/>
        <v/>
      </c>
      <c r="L154" s="6" t="str">
        <f t="shared" si="28"/>
        <v/>
      </c>
      <c r="M154" s="7" t="str">
        <f t="shared" si="29"/>
        <v/>
      </c>
      <c r="N154" t="str">
        <f t="shared" si="30"/>
        <v/>
      </c>
      <c r="O154" t="str">
        <f t="shared" si="31"/>
        <v/>
      </c>
      <c r="P154" s="8" t="str">
        <f t="shared" si="32"/>
        <v/>
      </c>
    </row>
    <row r="155" spans="5:16">
      <c r="E155" s="5" t="str">
        <f t="shared" si="22"/>
        <v/>
      </c>
      <c r="F155" s="5" t="str">
        <f t="shared" si="23"/>
        <v/>
      </c>
      <c r="G155" s="5" t="str">
        <f t="shared" si="24"/>
        <v/>
      </c>
      <c r="H155" s="5" t="str">
        <f t="shared" si="25"/>
        <v/>
      </c>
      <c r="I155" s="5"/>
      <c r="J155" s="5" t="str">
        <f t="shared" si="26"/>
        <v/>
      </c>
      <c r="K155" s="5" t="str">
        <f t="shared" si="27"/>
        <v/>
      </c>
      <c r="L155" s="6" t="str">
        <f t="shared" si="28"/>
        <v/>
      </c>
      <c r="M155" s="7" t="str">
        <f t="shared" si="29"/>
        <v/>
      </c>
      <c r="N155" t="str">
        <f t="shared" si="30"/>
        <v/>
      </c>
      <c r="O155" t="str">
        <f t="shared" si="31"/>
        <v/>
      </c>
      <c r="P155" s="8" t="str">
        <f t="shared" si="32"/>
        <v/>
      </c>
    </row>
    <row r="156" spans="5:16">
      <c r="E156" s="5" t="str">
        <f t="shared" si="22"/>
        <v/>
      </c>
      <c r="F156" s="5" t="str">
        <f t="shared" si="23"/>
        <v/>
      </c>
      <c r="G156" s="5" t="str">
        <f t="shared" si="24"/>
        <v/>
      </c>
      <c r="H156" s="5" t="str">
        <f t="shared" si="25"/>
        <v/>
      </c>
      <c r="I156" s="5"/>
      <c r="J156" s="5" t="str">
        <f t="shared" si="26"/>
        <v/>
      </c>
      <c r="K156" s="5" t="str">
        <f t="shared" si="27"/>
        <v/>
      </c>
      <c r="L156" s="6" t="str">
        <f t="shared" si="28"/>
        <v/>
      </c>
      <c r="M156" s="7" t="str">
        <f t="shared" si="29"/>
        <v/>
      </c>
      <c r="N156" t="str">
        <f t="shared" si="30"/>
        <v/>
      </c>
      <c r="O156" t="str">
        <f t="shared" si="31"/>
        <v/>
      </c>
      <c r="P156" s="8" t="str">
        <f t="shared" si="32"/>
        <v/>
      </c>
    </row>
    <row r="157" spans="5:16">
      <c r="E157" s="5" t="str">
        <f t="shared" si="22"/>
        <v/>
      </c>
      <c r="F157" s="5" t="str">
        <f t="shared" si="23"/>
        <v/>
      </c>
      <c r="G157" s="5" t="str">
        <f t="shared" si="24"/>
        <v/>
      </c>
      <c r="H157" s="5" t="str">
        <f t="shared" si="25"/>
        <v/>
      </c>
      <c r="I157" s="5"/>
      <c r="J157" s="5" t="str">
        <f t="shared" si="26"/>
        <v/>
      </c>
      <c r="K157" s="5" t="str">
        <f t="shared" si="27"/>
        <v/>
      </c>
      <c r="L157" s="6" t="str">
        <f t="shared" si="28"/>
        <v/>
      </c>
      <c r="M157" s="7" t="str">
        <f t="shared" si="29"/>
        <v/>
      </c>
      <c r="N157" t="str">
        <f t="shared" si="30"/>
        <v/>
      </c>
      <c r="O157" t="str">
        <f t="shared" si="31"/>
        <v/>
      </c>
      <c r="P157" s="8" t="str">
        <f t="shared" si="32"/>
        <v/>
      </c>
    </row>
    <row r="158" spans="5:16">
      <c r="E158" s="5" t="str">
        <f t="shared" si="22"/>
        <v/>
      </c>
      <c r="F158" s="5" t="str">
        <f t="shared" si="23"/>
        <v/>
      </c>
      <c r="G158" s="5" t="str">
        <f t="shared" si="24"/>
        <v/>
      </c>
      <c r="H158" s="5" t="str">
        <f t="shared" si="25"/>
        <v/>
      </c>
      <c r="I158" s="5"/>
      <c r="J158" s="5" t="str">
        <f t="shared" si="26"/>
        <v/>
      </c>
      <c r="K158" s="5" t="str">
        <f t="shared" si="27"/>
        <v/>
      </c>
      <c r="L158" s="6" t="str">
        <f t="shared" si="28"/>
        <v/>
      </c>
      <c r="M158" s="7" t="str">
        <f t="shared" si="29"/>
        <v/>
      </c>
      <c r="N158" t="str">
        <f t="shared" si="30"/>
        <v/>
      </c>
      <c r="O158" t="str">
        <f t="shared" si="31"/>
        <v/>
      </c>
      <c r="P158" s="8" t="str">
        <f t="shared" si="32"/>
        <v/>
      </c>
    </row>
    <row r="159" spans="5:16">
      <c r="E159" s="5" t="str">
        <f t="shared" si="22"/>
        <v/>
      </c>
      <c r="F159" s="5" t="str">
        <f t="shared" si="23"/>
        <v/>
      </c>
      <c r="G159" s="5" t="str">
        <f t="shared" si="24"/>
        <v/>
      </c>
      <c r="H159" s="5" t="str">
        <f t="shared" si="25"/>
        <v/>
      </c>
      <c r="I159" s="5"/>
      <c r="J159" s="5" t="str">
        <f t="shared" si="26"/>
        <v/>
      </c>
      <c r="K159" s="5" t="str">
        <f t="shared" si="27"/>
        <v/>
      </c>
      <c r="L159" s="6" t="str">
        <f t="shared" si="28"/>
        <v/>
      </c>
      <c r="M159" s="7" t="str">
        <f t="shared" si="29"/>
        <v/>
      </c>
      <c r="N159" t="str">
        <f t="shared" si="30"/>
        <v/>
      </c>
      <c r="O159" t="str">
        <f t="shared" si="31"/>
        <v/>
      </c>
      <c r="P159" s="8" t="str">
        <f t="shared" si="32"/>
        <v/>
      </c>
    </row>
    <row r="160" spans="5:16">
      <c r="E160" s="5" t="str">
        <f t="shared" si="22"/>
        <v/>
      </c>
      <c r="F160" s="5" t="str">
        <f t="shared" si="23"/>
        <v/>
      </c>
      <c r="G160" s="5" t="str">
        <f t="shared" si="24"/>
        <v/>
      </c>
      <c r="H160" s="5" t="str">
        <f t="shared" si="25"/>
        <v/>
      </c>
      <c r="I160" s="5"/>
      <c r="J160" s="5" t="str">
        <f t="shared" si="26"/>
        <v/>
      </c>
      <c r="K160" s="5" t="str">
        <f t="shared" si="27"/>
        <v/>
      </c>
      <c r="L160" s="6" t="str">
        <f t="shared" si="28"/>
        <v/>
      </c>
      <c r="M160" s="7" t="str">
        <f t="shared" si="29"/>
        <v/>
      </c>
      <c r="N160" t="str">
        <f t="shared" si="30"/>
        <v/>
      </c>
      <c r="O160" t="str">
        <f t="shared" si="31"/>
        <v/>
      </c>
      <c r="P160" s="8" t="str">
        <f t="shared" si="32"/>
        <v/>
      </c>
    </row>
    <row r="161" spans="5:16">
      <c r="E161" s="5" t="str">
        <f t="shared" si="22"/>
        <v/>
      </c>
      <c r="F161" s="5" t="str">
        <f t="shared" si="23"/>
        <v/>
      </c>
      <c r="G161" s="5" t="str">
        <f t="shared" si="24"/>
        <v/>
      </c>
      <c r="H161" s="5" t="str">
        <f t="shared" si="25"/>
        <v/>
      </c>
      <c r="I161" s="5"/>
      <c r="J161" s="5" t="str">
        <f t="shared" si="26"/>
        <v/>
      </c>
      <c r="K161" s="5" t="str">
        <f t="shared" si="27"/>
        <v/>
      </c>
      <c r="L161" s="6" t="str">
        <f t="shared" si="28"/>
        <v/>
      </c>
      <c r="M161" s="7" t="str">
        <f t="shared" si="29"/>
        <v/>
      </c>
      <c r="N161" t="str">
        <f t="shared" si="30"/>
        <v/>
      </c>
      <c r="O161" t="str">
        <f t="shared" si="31"/>
        <v/>
      </c>
      <c r="P161" s="8" t="str">
        <f t="shared" si="32"/>
        <v/>
      </c>
    </row>
    <row r="162" spans="5:16">
      <c r="E162" s="5" t="str">
        <f t="shared" si="22"/>
        <v/>
      </c>
      <c r="F162" s="5" t="str">
        <f t="shared" si="23"/>
        <v/>
      </c>
      <c r="G162" s="5" t="str">
        <f t="shared" si="24"/>
        <v/>
      </c>
      <c r="H162" s="5" t="str">
        <f t="shared" si="25"/>
        <v/>
      </c>
      <c r="I162" s="5"/>
      <c r="J162" s="5" t="str">
        <f t="shared" si="26"/>
        <v/>
      </c>
      <c r="K162" s="5" t="str">
        <f t="shared" si="27"/>
        <v/>
      </c>
      <c r="L162" s="6" t="str">
        <f t="shared" si="28"/>
        <v/>
      </c>
      <c r="M162" s="7" t="str">
        <f t="shared" si="29"/>
        <v/>
      </c>
      <c r="N162" t="str">
        <f t="shared" si="30"/>
        <v/>
      </c>
      <c r="O162" t="str">
        <f t="shared" si="31"/>
        <v/>
      </c>
      <c r="P162" s="8" t="str">
        <f t="shared" si="32"/>
        <v/>
      </c>
    </row>
    <row r="163" spans="5:16">
      <c r="E163" s="5" t="str">
        <f t="shared" si="22"/>
        <v/>
      </c>
      <c r="F163" s="5" t="str">
        <f t="shared" si="23"/>
        <v/>
      </c>
      <c r="G163" s="5" t="str">
        <f t="shared" si="24"/>
        <v/>
      </c>
      <c r="H163" s="5" t="str">
        <f t="shared" si="25"/>
        <v/>
      </c>
      <c r="I163" s="5"/>
      <c r="J163" s="5" t="str">
        <f t="shared" si="26"/>
        <v/>
      </c>
      <c r="K163" s="5" t="str">
        <f t="shared" si="27"/>
        <v/>
      </c>
      <c r="L163" s="6" t="str">
        <f t="shared" si="28"/>
        <v/>
      </c>
      <c r="M163" s="7" t="str">
        <f t="shared" si="29"/>
        <v/>
      </c>
      <c r="N163" t="str">
        <f t="shared" si="30"/>
        <v/>
      </c>
      <c r="O163" t="str">
        <f t="shared" si="31"/>
        <v/>
      </c>
      <c r="P163" s="8" t="str">
        <f t="shared" si="32"/>
        <v/>
      </c>
    </row>
    <row r="164" spans="5:16">
      <c r="E164" s="5" t="str">
        <f t="shared" si="22"/>
        <v/>
      </c>
      <c r="F164" s="5" t="str">
        <f t="shared" si="23"/>
        <v/>
      </c>
      <c r="G164" s="5" t="str">
        <f t="shared" si="24"/>
        <v/>
      </c>
      <c r="H164" s="5" t="str">
        <f t="shared" si="25"/>
        <v/>
      </c>
      <c r="I164" s="5"/>
      <c r="J164" s="5" t="str">
        <f t="shared" si="26"/>
        <v/>
      </c>
      <c r="K164" s="5" t="str">
        <f t="shared" si="27"/>
        <v/>
      </c>
      <c r="L164" s="6" t="str">
        <f t="shared" si="28"/>
        <v/>
      </c>
      <c r="M164" s="7" t="str">
        <f t="shared" si="29"/>
        <v/>
      </c>
      <c r="N164" t="str">
        <f t="shared" si="30"/>
        <v/>
      </c>
      <c r="O164" t="str">
        <f t="shared" si="31"/>
        <v/>
      </c>
      <c r="P164" s="8" t="str">
        <f t="shared" si="32"/>
        <v/>
      </c>
    </row>
    <row r="165" spans="5:16">
      <c r="E165" s="5" t="str">
        <f t="shared" si="22"/>
        <v/>
      </c>
      <c r="F165" s="5" t="str">
        <f t="shared" si="23"/>
        <v/>
      </c>
      <c r="G165" s="5" t="str">
        <f t="shared" si="24"/>
        <v/>
      </c>
      <c r="H165" s="5" t="str">
        <f t="shared" si="25"/>
        <v/>
      </c>
      <c r="I165" s="5"/>
      <c r="J165" s="5" t="str">
        <f t="shared" si="26"/>
        <v/>
      </c>
      <c r="K165" s="5" t="str">
        <f t="shared" si="27"/>
        <v/>
      </c>
      <c r="L165" s="6" t="str">
        <f t="shared" si="28"/>
        <v/>
      </c>
      <c r="M165" s="7" t="str">
        <f t="shared" si="29"/>
        <v/>
      </c>
      <c r="N165" t="str">
        <f t="shared" si="30"/>
        <v/>
      </c>
      <c r="O165" t="str">
        <f t="shared" si="31"/>
        <v/>
      </c>
      <c r="P165" s="8" t="str">
        <f t="shared" si="32"/>
        <v/>
      </c>
    </row>
    <row r="166" spans="5:16">
      <c r="E166" s="5" t="str">
        <f t="shared" si="22"/>
        <v/>
      </c>
      <c r="F166" s="5" t="str">
        <f t="shared" si="23"/>
        <v/>
      </c>
      <c r="G166" s="5" t="str">
        <f t="shared" si="24"/>
        <v/>
      </c>
      <c r="H166" s="5" t="str">
        <f t="shared" si="25"/>
        <v/>
      </c>
      <c r="I166" s="5"/>
      <c r="J166" s="5" t="str">
        <f t="shared" si="26"/>
        <v/>
      </c>
      <c r="K166" s="5" t="str">
        <f t="shared" si="27"/>
        <v/>
      </c>
      <c r="L166" s="6" t="str">
        <f t="shared" si="28"/>
        <v/>
      </c>
      <c r="M166" s="7" t="str">
        <f t="shared" si="29"/>
        <v/>
      </c>
      <c r="N166" t="str">
        <f t="shared" si="30"/>
        <v/>
      </c>
      <c r="O166" t="str">
        <f t="shared" si="31"/>
        <v/>
      </c>
      <c r="P166" s="8" t="str">
        <f t="shared" si="32"/>
        <v/>
      </c>
    </row>
    <row r="167" spans="5:16">
      <c r="E167" s="5" t="str">
        <f t="shared" si="22"/>
        <v/>
      </c>
      <c r="F167" s="5" t="str">
        <f t="shared" si="23"/>
        <v/>
      </c>
      <c r="G167" s="5" t="str">
        <f t="shared" si="24"/>
        <v/>
      </c>
      <c r="H167" s="5" t="str">
        <f t="shared" si="25"/>
        <v/>
      </c>
      <c r="I167" s="5"/>
      <c r="J167" s="5" t="str">
        <f t="shared" si="26"/>
        <v/>
      </c>
      <c r="K167" s="5" t="str">
        <f t="shared" si="27"/>
        <v/>
      </c>
      <c r="L167" s="6" t="str">
        <f t="shared" si="28"/>
        <v/>
      </c>
      <c r="M167" s="7" t="str">
        <f t="shared" si="29"/>
        <v/>
      </c>
      <c r="N167" t="str">
        <f t="shared" si="30"/>
        <v/>
      </c>
      <c r="O167" t="str">
        <f t="shared" si="31"/>
        <v/>
      </c>
      <c r="P167" s="8" t="str">
        <f t="shared" si="32"/>
        <v/>
      </c>
    </row>
    <row r="168" spans="5:16">
      <c r="E168" s="5" t="str">
        <f t="shared" si="22"/>
        <v/>
      </c>
      <c r="F168" s="5" t="str">
        <f t="shared" si="23"/>
        <v/>
      </c>
      <c r="G168" s="5" t="str">
        <f t="shared" si="24"/>
        <v/>
      </c>
      <c r="H168" s="5" t="str">
        <f t="shared" si="25"/>
        <v/>
      </c>
      <c r="I168" s="5"/>
      <c r="J168" s="5" t="str">
        <f t="shared" si="26"/>
        <v/>
      </c>
      <c r="K168" s="5" t="str">
        <f t="shared" si="27"/>
        <v/>
      </c>
      <c r="L168" s="6" t="str">
        <f t="shared" si="28"/>
        <v/>
      </c>
      <c r="M168" s="7" t="str">
        <f t="shared" si="29"/>
        <v/>
      </c>
      <c r="N168" t="str">
        <f t="shared" si="30"/>
        <v/>
      </c>
      <c r="O168" t="str">
        <f t="shared" si="31"/>
        <v/>
      </c>
      <c r="P168" s="8" t="str">
        <f t="shared" si="32"/>
        <v/>
      </c>
    </row>
    <row r="169" spans="5:16">
      <c r="E169" s="5" t="str">
        <f t="shared" si="22"/>
        <v/>
      </c>
      <c r="F169" s="5" t="str">
        <f t="shared" si="23"/>
        <v/>
      </c>
      <c r="G169" s="5" t="str">
        <f t="shared" si="24"/>
        <v/>
      </c>
      <c r="H169" s="5" t="str">
        <f t="shared" si="25"/>
        <v/>
      </c>
      <c r="I169" s="5"/>
      <c r="J169" s="5" t="str">
        <f t="shared" si="26"/>
        <v/>
      </c>
      <c r="K169" s="5" t="str">
        <f t="shared" si="27"/>
        <v/>
      </c>
      <c r="L169" s="6" t="str">
        <f t="shared" si="28"/>
        <v/>
      </c>
      <c r="M169" s="7" t="str">
        <f t="shared" si="29"/>
        <v/>
      </c>
      <c r="N169" t="str">
        <f t="shared" si="30"/>
        <v/>
      </c>
      <c r="O169" t="str">
        <f t="shared" si="31"/>
        <v/>
      </c>
      <c r="P169" s="8" t="str">
        <f t="shared" si="32"/>
        <v/>
      </c>
    </row>
    <row r="170" spans="5:16">
      <c r="E170" s="5" t="str">
        <f t="shared" si="22"/>
        <v/>
      </c>
      <c r="F170" s="5" t="str">
        <f t="shared" si="23"/>
        <v/>
      </c>
      <c r="G170" s="5" t="str">
        <f t="shared" si="24"/>
        <v/>
      </c>
      <c r="H170" s="5" t="str">
        <f t="shared" si="25"/>
        <v/>
      </c>
      <c r="I170" s="5"/>
      <c r="J170" s="5" t="str">
        <f t="shared" si="26"/>
        <v/>
      </c>
      <c r="K170" s="5" t="str">
        <f t="shared" si="27"/>
        <v/>
      </c>
      <c r="L170" s="6" t="str">
        <f t="shared" si="28"/>
        <v/>
      </c>
      <c r="M170" s="7" t="str">
        <f t="shared" si="29"/>
        <v/>
      </c>
      <c r="N170" t="str">
        <f t="shared" si="30"/>
        <v/>
      </c>
      <c r="O170" t="str">
        <f t="shared" si="31"/>
        <v/>
      </c>
      <c r="P170" s="8" t="str">
        <f t="shared" si="32"/>
        <v/>
      </c>
    </row>
    <row r="171" spans="5:16">
      <c r="E171" s="5" t="str">
        <f t="shared" si="22"/>
        <v/>
      </c>
      <c r="F171" s="5" t="str">
        <f t="shared" si="23"/>
        <v/>
      </c>
      <c r="G171" s="5" t="str">
        <f t="shared" si="24"/>
        <v/>
      </c>
      <c r="H171" s="5" t="str">
        <f t="shared" si="25"/>
        <v/>
      </c>
      <c r="I171" s="5"/>
      <c r="J171" s="5" t="str">
        <f t="shared" si="26"/>
        <v/>
      </c>
      <c r="K171" s="5" t="str">
        <f t="shared" si="27"/>
        <v/>
      </c>
      <c r="L171" s="6" t="str">
        <f t="shared" si="28"/>
        <v/>
      </c>
      <c r="M171" s="7" t="str">
        <f t="shared" si="29"/>
        <v/>
      </c>
      <c r="N171" t="str">
        <f t="shared" si="30"/>
        <v/>
      </c>
      <c r="O171" t="str">
        <f t="shared" si="31"/>
        <v/>
      </c>
      <c r="P171" s="8" t="str">
        <f t="shared" si="32"/>
        <v/>
      </c>
    </row>
    <row r="172" spans="5:16">
      <c r="E172" s="5" t="str">
        <f t="shared" si="22"/>
        <v/>
      </c>
      <c r="F172" s="5" t="str">
        <f t="shared" si="23"/>
        <v/>
      </c>
      <c r="G172" s="5" t="str">
        <f t="shared" si="24"/>
        <v/>
      </c>
      <c r="H172" s="5" t="str">
        <f t="shared" si="25"/>
        <v/>
      </c>
      <c r="I172" s="5"/>
      <c r="J172" s="5" t="str">
        <f t="shared" si="26"/>
        <v/>
      </c>
      <c r="K172" s="5" t="str">
        <f t="shared" si="27"/>
        <v/>
      </c>
      <c r="L172" s="6" t="str">
        <f t="shared" si="28"/>
        <v/>
      </c>
      <c r="M172" s="7" t="str">
        <f t="shared" si="29"/>
        <v/>
      </c>
      <c r="N172" t="str">
        <f t="shared" si="30"/>
        <v/>
      </c>
      <c r="O172" t="str">
        <f t="shared" si="31"/>
        <v/>
      </c>
      <c r="P172" s="8" t="str">
        <f t="shared" si="32"/>
        <v/>
      </c>
    </row>
    <row r="173" spans="5:16">
      <c r="E173" s="5" t="str">
        <f t="shared" si="22"/>
        <v/>
      </c>
      <c r="F173" s="5" t="str">
        <f t="shared" si="23"/>
        <v/>
      </c>
      <c r="G173" s="5" t="str">
        <f t="shared" si="24"/>
        <v/>
      </c>
      <c r="H173" s="5" t="str">
        <f t="shared" si="25"/>
        <v/>
      </c>
      <c r="I173" s="5"/>
      <c r="J173" s="5" t="str">
        <f t="shared" si="26"/>
        <v/>
      </c>
      <c r="K173" s="5" t="str">
        <f t="shared" si="27"/>
        <v/>
      </c>
      <c r="L173" s="6" t="str">
        <f t="shared" si="28"/>
        <v/>
      </c>
      <c r="M173" s="7" t="str">
        <f t="shared" si="29"/>
        <v/>
      </c>
      <c r="N173" t="str">
        <f t="shared" si="30"/>
        <v/>
      </c>
      <c r="O173" t="str">
        <f t="shared" si="31"/>
        <v/>
      </c>
      <c r="P173" s="8" t="str">
        <f t="shared" si="32"/>
        <v/>
      </c>
    </row>
    <row r="174" spans="5:16">
      <c r="E174" s="5" t="str">
        <f t="shared" si="22"/>
        <v/>
      </c>
      <c r="F174" s="5" t="str">
        <f t="shared" si="23"/>
        <v/>
      </c>
      <c r="G174" s="5" t="str">
        <f t="shared" si="24"/>
        <v/>
      </c>
      <c r="H174" s="5" t="str">
        <f t="shared" si="25"/>
        <v/>
      </c>
      <c r="I174" s="5"/>
      <c r="J174" s="5" t="str">
        <f t="shared" si="26"/>
        <v/>
      </c>
      <c r="K174" s="5" t="str">
        <f t="shared" si="27"/>
        <v/>
      </c>
      <c r="L174" s="6" t="str">
        <f t="shared" si="28"/>
        <v/>
      </c>
      <c r="M174" s="7" t="str">
        <f t="shared" si="29"/>
        <v/>
      </c>
      <c r="N174" t="str">
        <f t="shared" si="30"/>
        <v/>
      </c>
      <c r="O174" t="str">
        <f t="shared" si="31"/>
        <v/>
      </c>
      <c r="P174" s="8" t="str">
        <f t="shared" si="32"/>
        <v/>
      </c>
    </row>
    <row r="175" spans="5:16">
      <c r="E175" s="5" t="str">
        <f t="shared" si="22"/>
        <v/>
      </c>
      <c r="F175" s="5" t="str">
        <f t="shared" si="23"/>
        <v/>
      </c>
      <c r="G175" s="5" t="str">
        <f t="shared" si="24"/>
        <v/>
      </c>
      <c r="H175" s="5" t="str">
        <f t="shared" si="25"/>
        <v/>
      </c>
      <c r="I175" s="5"/>
      <c r="J175" s="5" t="str">
        <f t="shared" si="26"/>
        <v/>
      </c>
      <c r="K175" s="5" t="str">
        <f t="shared" si="27"/>
        <v/>
      </c>
      <c r="L175" s="6" t="str">
        <f t="shared" si="28"/>
        <v/>
      </c>
      <c r="M175" s="7" t="str">
        <f t="shared" si="29"/>
        <v/>
      </c>
      <c r="N175" t="str">
        <f t="shared" si="30"/>
        <v/>
      </c>
      <c r="O175" t="str">
        <f t="shared" si="31"/>
        <v/>
      </c>
      <c r="P175" s="8" t="str">
        <f t="shared" si="32"/>
        <v/>
      </c>
    </row>
    <row r="176" spans="5:16">
      <c r="E176" s="5" t="str">
        <f t="shared" si="22"/>
        <v/>
      </c>
      <c r="F176" s="5" t="str">
        <f t="shared" si="23"/>
        <v/>
      </c>
      <c r="G176" s="5" t="str">
        <f t="shared" si="24"/>
        <v/>
      </c>
      <c r="H176" s="5" t="str">
        <f t="shared" si="25"/>
        <v/>
      </c>
      <c r="I176" s="5"/>
      <c r="J176" s="5" t="str">
        <f t="shared" si="26"/>
        <v/>
      </c>
      <c r="K176" s="5" t="str">
        <f t="shared" si="27"/>
        <v/>
      </c>
      <c r="L176" s="6" t="str">
        <f t="shared" si="28"/>
        <v/>
      </c>
      <c r="M176" s="7" t="str">
        <f t="shared" si="29"/>
        <v/>
      </c>
      <c r="N176" t="str">
        <f t="shared" si="30"/>
        <v/>
      </c>
      <c r="O176" t="str">
        <f t="shared" si="31"/>
        <v/>
      </c>
      <c r="P176" s="8" t="str">
        <f t="shared" si="32"/>
        <v/>
      </c>
    </row>
    <row r="177" spans="5:16">
      <c r="E177" s="5" t="str">
        <f t="shared" si="22"/>
        <v/>
      </c>
      <c r="F177" s="5" t="str">
        <f t="shared" si="23"/>
        <v/>
      </c>
      <c r="G177" s="5" t="str">
        <f t="shared" si="24"/>
        <v/>
      </c>
      <c r="H177" s="5" t="str">
        <f t="shared" si="25"/>
        <v/>
      </c>
      <c r="I177" s="5"/>
      <c r="J177" s="5" t="str">
        <f t="shared" si="26"/>
        <v/>
      </c>
      <c r="K177" s="5" t="str">
        <f t="shared" si="27"/>
        <v/>
      </c>
      <c r="L177" s="6" t="str">
        <f t="shared" si="28"/>
        <v/>
      </c>
      <c r="M177" s="7" t="str">
        <f t="shared" si="29"/>
        <v/>
      </c>
      <c r="N177" t="str">
        <f t="shared" si="30"/>
        <v/>
      </c>
      <c r="O177" t="str">
        <f t="shared" si="31"/>
        <v/>
      </c>
      <c r="P177" s="8" t="str">
        <f t="shared" si="32"/>
        <v/>
      </c>
    </row>
    <row r="178" spans="5:16">
      <c r="E178" s="5" t="str">
        <f t="shared" si="22"/>
        <v/>
      </c>
      <c r="F178" s="5" t="str">
        <f t="shared" si="23"/>
        <v/>
      </c>
      <c r="G178" s="5" t="str">
        <f t="shared" si="24"/>
        <v/>
      </c>
      <c r="H178" s="5" t="str">
        <f t="shared" si="25"/>
        <v/>
      </c>
      <c r="I178" s="5"/>
      <c r="J178" s="5" t="str">
        <f t="shared" si="26"/>
        <v/>
      </c>
      <c r="K178" s="5" t="str">
        <f t="shared" si="27"/>
        <v/>
      </c>
      <c r="L178" s="6" t="str">
        <f t="shared" si="28"/>
        <v/>
      </c>
      <c r="M178" s="7" t="str">
        <f t="shared" si="29"/>
        <v/>
      </c>
      <c r="N178" t="str">
        <f t="shared" si="30"/>
        <v/>
      </c>
      <c r="O178" t="str">
        <f t="shared" si="31"/>
        <v/>
      </c>
      <c r="P178" s="8" t="str">
        <f t="shared" si="32"/>
        <v/>
      </c>
    </row>
    <row r="179" spans="5:16">
      <c r="E179" s="5" t="str">
        <f t="shared" si="22"/>
        <v/>
      </c>
      <c r="F179" s="5" t="str">
        <f t="shared" si="23"/>
        <v/>
      </c>
      <c r="G179" s="5" t="str">
        <f t="shared" si="24"/>
        <v/>
      </c>
      <c r="H179" s="5" t="str">
        <f t="shared" si="25"/>
        <v/>
      </c>
      <c r="I179" s="5"/>
      <c r="J179" s="5" t="str">
        <f t="shared" si="26"/>
        <v/>
      </c>
      <c r="K179" s="5" t="str">
        <f t="shared" si="27"/>
        <v/>
      </c>
      <c r="L179" s="6" t="str">
        <f t="shared" si="28"/>
        <v/>
      </c>
      <c r="M179" s="7" t="str">
        <f t="shared" si="29"/>
        <v/>
      </c>
      <c r="N179" t="str">
        <f t="shared" si="30"/>
        <v/>
      </c>
      <c r="O179" t="str">
        <f t="shared" si="31"/>
        <v/>
      </c>
      <c r="P179" s="8" t="str">
        <f t="shared" si="32"/>
        <v/>
      </c>
    </row>
    <row r="180" spans="5:16">
      <c r="E180" s="5" t="str">
        <f t="shared" si="22"/>
        <v/>
      </c>
      <c r="F180" s="5" t="str">
        <f t="shared" si="23"/>
        <v/>
      </c>
      <c r="G180" s="5" t="str">
        <f t="shared" si="24"/>
        <v/>
      </c>
      <c r="H180" s="5" t="str">
        <f t="shared" si="25"/>
        <v/>
      </c>
      <c r="I180" s="5"/>
      <c r="J180" s="5" t="str">
        <f t="shared" si="26"/>
        <v/>
      </c>
      <c r="K180" s="5" t="str">
        <f t="shared" si="27"/>
        <v/>
      </c>
      <c r="L180" s="6" t="str">
        <f t="shared" si="28"/>
        <v/>
      </c>
      <c r="M180" s="7" t="str">
        <f t="shared" si="29"/>
        <v/>
      </c>
      <c r="N180" t="str">
        <f t="shared" si="30"/>
        <v/>
      </c>
      <c r="O180" t="str">
        <f t="shared" si="31"/>
        <v/>
      </c>
      <c r="P180" s="8" t="str">
        <f t="shared" si="32"/>
        <v/>
      </c>
    </row>
    <row r="181" spans="5:16">
      <c r="E181" s="5" t="str">
        <f t="shared" si="22"/>
        <v/>
      </c>
      <c r="F181" s="5" t="str">
        <f t="shared" si="23"/>
        <v/>
      </c>
      <c r="G181" s="5" t="str">
        <f t="shared" si="24"/>
        <v/>
      </c>
      <c r="H181" s="5" t="str">
        <f t="shared" si="25"/>
        <v/>
      </c>
      <c r="I181" s="5"/>
      <c r="J181" s="5" t="str">
        <f t="shared" si="26"/>
        <v/>
      </c>
      <c r="K181" s="5" t="str">
        <f t="shared" si="27"/>
        <v/>
      </c>
      <c r="L181" s="6" t="str">
        <f t="shared" si="28"/>
        <v/>
      </c>
      <c r="M181" s="7" t="str">
        <f t="shared" si="29"/>
        <v/>
      </c>
      <c r="N181" t="str">
        <f t="shared" si="30"/>
        <v/>
      </c>
      <c r="O181" t="str">
        <f t="shared" si="31"/>
        <v/>
      </c>
      <c r="P181" s="8" t="str">
        <f t="shared" si="32"/>
        <v/>
      </c>
    </row>
    <row r="182" spans="5:16">
      <c r="E182" s="5" t="str">
        <f t="shared" si="22"/>
        <v/>
      </c>
      <c r="F182" s="5" t="str">
        <f t="shared" si="23"/>
        <v/>
      </c>
      <c r="G182" s="5" t="str">
        <f t="shared" si="24"/>
        <v/>
      </c>
      <c r="H182" s="5" t="str">
        <f t="shared" si="25"/>
        <v/>
      </c>
      <c r="I182" s="5"/>
      <c r="J182" s="5" t="str">
        <f t="shared" si="26"/>
        <v/>
      </c>
      <c r="K182" s="5" t="str">
        <f t="shared" si="27"/>
        <v/>
      </c>
      <c r="L182" s="6" t="str">
        <f t="shared" si="28"/>
        <v/>
      </c>
      <c r="M182" s="7" t="str">
        <f t="shared" si="29"/>
        <v/>
      </c>
      <c r="N182" t="str">
        <f t="shared" si="30"/>
        <v/>
      </c>
      <c r="O182" t="str">
        <f t="shared" si="31"/>
        <v/>
      </c>
      <c r="P182" s="8" t="str">
        <f t="shared" si="32"/>
        <v/>
      </c>
    </row>
    <row r="183" spans="5:16">
      <c r="E183" s="5" t="str">
        <f t="shared" si="22"/>
        <v/>
      </c>
      <c r="F183" s="5" t="str">
        <f t="shared" si="23"/>
        <v/>
      </c>
      <c r="G183" s="5" t="str">
        <f t="shared" si="24"/>
        <v/>
      </c>
      <c r="H183" s="5" t="str">
        <f t="shared" si="25"/>
        <v/>
      </c>
      <c r="I183" s="5"/>
      <c r="J183" s="5" t="str">
        <f t="shared" si="26"/>
        <v/>
      </c>
      <c r="K183" s="5" t="str">
        <f t="shared" si="27"/>
        <v/>
      </c>
      <c r="L183" s="6" t="str">
        <f t="shared" si="28"/>
        <v/>
      </c>
      <c r="M183" s="7" t="str">
        <f t="shared" si="29"/>
        <v/>
      </c>
      <c r="N183" t="str">
        <f t="shared" si="30"/>
        <v/>
      </c>
      <c r="O183" t="str">
        <f t="shared" si="31"/>
        <v/>
      </c>
      <c r="P183" s="8" t="str">
        <f t="shared" si="32"/>
        <v/>
      </c>
    </row>
    <row r="184" spans="5:16">
      <c r="E184" s="5" t="str">
        <f t="shared" si="22"/>
        <v/>
      </c>
      <c r="F184" s="5" t="str">
        <f t="shared" si="23"/>
        <v/>
      </c>
      <c r="G184" s="5" t="str">
        <f t="shared" si="24"/>
        <v/>
      </c>
      <c r="H184" s="5" t="str">
        <f t="shared" si="25"/>
        <v/>
      </c>
      <c r="I184" s="5"/>
      <c r="J184" s="5" t="str">
        <f t="shared" si="26"/>
        <v/>
      </c>
      <c r="K184" s="5" t="str">
        <f t="shared" si="27"/>
        <v/>
      </c>
      <c r="L184" s="6" t="str">
        <f t="shared" si="28"/>
        <v/>
      </c>
      <c r="M184" s="7" t="str">
        <f t="shared" si="29"/>
        <v/>
      </c>
      <c r="N184" t="str">
        <f t="shared" si="30"/>
        <v/>
      </c>
      <c r="O184" t="str">
        <f t="shared" si="31"/>
        <v/>
      </c>
      <c r="P184" s="8" t="str">
        <f t="shared" si="32"/>
        <v/>
      </c>
    </row>
    <row r="185" spans="5:16">
      <c r="E185" s="5" t="str">
        <f t="shared" si="22"/>
        <v/>
      </c>
      <c r="F185" s="5" t="str">
        <f t="shared" si="23"/>
        <v/>
      </c>
      <c r="G185" s="5" t="str">
        <f t="shared" si="24"/>
        <v/>
      </c>
      <c r="H185" s="5" t="str">
        <f t="shared" si="25"/>
        <v/>
      </c>
      <c r="I185" s="5"/>
      <c r="J185" s="5" t="str">
        <f t="shared" si="26"/>
        <v/>
      </c>
      <c r="K185" s="5" t="str">
        <f t="shared" si="27"/>
        <v/>
      </c>
      <c r="L185" s="6" t="str">
        <f t="shared" si="28"/>
        <v/>
      </c>
      <c r="M185" s="7" t="str">
        <f t="shared" si="29"/>
        <v/>
      </c>
      <c r="N185" t="str">
        <f t="shared" si="30"/>
        <v/>
      </c>
      <c r="O185" t="str">
        <f t="shared" si="31"/>
        <v/>
      </c>
      <c r="P185" s="8" t="str">
        <f t="shared" si="32"/>
        <v/>
      </c>
    </row>
    <row r="186" spans="5:16">
      <c r="E186" s="5" t="str">
        <f t="shared" si="22"/>
        <v/>
      </c>
      <c r="F186" s="5" t="str">
        <f t="shared" si="23"/>
        <v/>
      </c>
      <c r="G186" s="5" t="str">
        <f t="shared" si="24"/>
        <v/>
      </c>
      <c r="H186" s="5" t="str">
        <f t="shared" si="25"/>
        <v/>
      </c>
      <c r="I186" s="5"/>
      <c r="J186" s="5" t="str">
        <f t="shared" si="26"/>
        <v/>
      </c>
      <c r="K186" s="5" t="str">
        <f t="shared" si="27"/>
        <v/>
      </c>
      <c r="L186" s="6" t="str">
        <f t="shared" si="28"/>
        <v/>
      </c>
      <c r="M186" s="7" t="str">
        <f t="shared" si="29"/>
        <v/>
      </c>
      <c r="N186" t="str">
        <f t="shared" si="30"/>
        <v/>
      </c>
      <c r="O186" t="str">
        <f t="shared" si="31"/>
        <v/>
      </c>
      <c r="P186" s="8" t="str">
        <f t="shared" si="32"/>
        <v/>
      </c>
    </row>
    <row r="187" spans="5:16">
      <c r="E187" s="5" t="str">
        <f t="shared" si="22"/>
        <v/>
      </c>
      <c r="F187" s="5" t="str">
        <f t="shared" si="23"/>
        <v/>
      </c>
      <c r="G187" s="5" t="str">
        <f t="shared" si="24"/>
        <v/>
      </c>
      <c r="H187" s="5" t="str">
        <f t="shared" si="25"/>
        <v/>
      </c>
      <c r="I187" s="5"/>
      <c r="J187" s="5" t="str">
        <f t="shared" si="26"/>
        <v/>
      </c>
      <c r="K187" s="5" t="str">
        <f t="shared" si="27"/>
        <v/>
      </c>
      <c r="L187" s="6" t="str">
        <f t="shared" si="28"/>
        <v/>
      </c>
      <c r="M187" s="7" t="str">
        <f t="shared" si="29"/>
        <v/>
      </c>
      <c r="N187" t="str">
        <f t="shared" si="30"/>
        <v/>
      </c>
      <c r="O187" t="str">
        <f t="shared" si="31"/>
        <v/>
      </c>
      <c r="P187" s="8" t="str">
        <f t="shared" si="32"/>
        <v/>
      </c>
    </row>
    <row r="188" spans="5:16">
      <c r="E188" s="5" t="str">
        <f t="shared" si="22"/>
        <v/>
      </c>
      <c r="F188" s="5" t="str">
        <f t="shared" si="23"/>
        <v/>
      </c>
      <c r="G188" s="5" t="str">
        <f t="shared" si="24"/>
        <v/>
      </c>
      <c r="H188" s="5" t="str">
        <f t="shared" si="25"/>
        <v/>
      </c>
      <c r="I188" s="5"/>
      <c r="J188" s="5" t="str">
        <f t="shared" si="26"/>
        <v/>
      </c>
      <c r="K188" s="5" t="str">
        <f t="shared" si="27"/>
        <v/>
      </c>
      <c r="L188" s="6" t="str">
        <f t="shared" si="28"/>
        <v/>
      </c>
      <c r="M188" s="7" t="str">
        <f t="shared" si="29"/>
        <v/>
      </c>
      <c r="N188" t="str">
        <f t="shared" si="30"/>
        <v/>
      </c>
      <c r="O188" t="str">
        <f t="shared" si="31"/>
        <v/>
      </c>
      <c r="P188" s="8" t="str">
        <f t="shared" si="32"/>
        <v/>
      </c>
    </row>
    <row r="189" spans="5:16">
      <c r="E189" s="5" t="str">
        <f t="shared" si="22"/>
        <v/>
      </c>
      <c r="F189" s="5" t="str">
        <f t="shared" si="23"/>
        <v/>
      </c>
      <c r="G189" s="5" t="str">
        <f t="shared" si="24"/>
        <v/>
      </c>
      <c r="H189" s="5" t="str">
        <f t="shared" si="25"/>
        <v/>
      </c>
      <c r="I189" s="5"/>
      <c r="J189" s="5" t="str">
        <f t="shared" si="26"/>
        <v/>
      </c>
      <c r="K189" s="5" t="str">
        <f t="shared" si="27"/>
        <v/>
      </c>
      <c r="L189" s="6" t="str">
        <f t="shared" si="28"/>
        <v/>
      </c>
      <c r="M189" s="7" t="str">
        <f t="shared" si="29"/>
        <v/>
      </c>
      <c r="N189" t="str">
        <f t="shared" si="30"/>
        <v/>
      </c>
      <c r="O189" t="str">
        <f t="shared" si="31"/>
        <v/>
      </c>
      <c r="P189" s="8" t="str">
        <f t="shared" si="32"/>
        <v/>
      </c>
    </row>
    <row r="190" spans="5:16">
      <c r="E190" s="5" t="str">
        <f t="shared" si="22"/>
        <v/>
      </c>
      <c r="F190" s="5" t="str">
        <f t="shared" si="23"/>
        <v/>
      </c>
      <c r="G190" s="5" t="str">
        <f t="shared" si="24"/>
        <v/>
      </c>
      <c r="H190" s="5" t="str">
        <f t="shared" si="25"/>
        <v/>
      </c>
      <c r="I190" s="5"/>
      <c r="J190" s="5" t="str">
        <f t="shared" si="26"/>
        <v/>
      </c>
      <c r="K190" s="5" t="str">
        <f t="shared" si="27"/>
        <v/>
      </c>
      <c r="L190" s="6" t="str">
        <f t="shared" si="28"/>
        <v/>
      </c>
      <c r="M190" s="7" t="str">
        <f t="shared" si="29"/>
        <v/>
      </c>
      <c r="N190" t="str">
        <f t="shared" si="30"/>
        <v/>
      </c>
      <c r="O190" t="str">
        <f t="shared" si="31"/>
        <v/>
      </c>
      <c r="P190" s="8" t="str">
        <f t="shared" si="32"/>
        <v/>
      </c>
    </row>
    <row r="191" spans="5:16">
      <c r="E191" s="5" t="str">
        <f t="shared" si="22"/>
        <v/>
      </c>
      <c r="F191" s="5" t="str">
        <f t="shared" si="23"/>
        <v/>
      </c>
      <c r="G191" s="5" t="str">
        <f t="shared" si="24"/>
        <v/>
      </c>
      <c r="H191" s="5" t="str">
        <f t="shared" si="25"/>
        <v/>
      </c>
      <c r="I191" s="5"/>
      <c r="J191" s="5" t="str">
        <f t="shared" si="26"/>
        <v/>
      </c>
      <c r="K191" s="5" t="str">
        <f t="shared" si="27"/>
        <v/>
      </c>
      <c r="L191" s="6" t="str">
        <f t="shared" si="28"/>
        <v/>
      </c>
      <c r="M191" s="7" t="str">
        <f t="shared" si="29"/>
        <v/>
      </c>
      <c r="N191" t="str">
        <f t="shared" si="30"/>
        <v/>
      </c>
      <c r="O191" t="str">
        <f t="shared" si="31"/>
        <v/>
      </c>
      <c r="P191" s="8" t="str">
        <f t="shared" si="32"/>
        <v/>
      </c>
    </row>
    <row r="192" spans="5:16">
      <c r="E192" s="5" t="str">
        <f t="shared" si="22"/>
        <v/>
      </c>
      <c r="F192" s="5" t="str">
        <f t="shared" si="23"/>
        <v/>
      </c>
      <c r="G192" s="5" t="str">
        <f t="shared" si="24"/>
        <v/>
      </c>
      <c r="H192" s="5" t="str">
        <f t="shared" si="25"/>
        <v/>
      </c>
      <c r="I192" s="5"/>
      <c r="J192" s="5" t="str">
        <f t="shared" si="26"/>
        <v/>
      </c>
      <c r="K192" s="5" t="str">
        <f t="shared" si="27"/>
        <v/>
      </c>
      <c r="L192" s="6" t="str">
        <f t="shared" si="28"/>
        <v/>
      </c>
      <c r="M192" s="7" t="str">
        <f t="shared" si="29"/>
        <v/>
      </c>
      <c r="N192" t="str">
        <f t="shared" si="30"/>
        <v/>
      </c>
      <c r="O192" t="str">
        <f t="shared" si="31"/>
        <v/>
      </c>
      <c r="P192" s="8" t="str">
        <f t="shared" si="32"/>
        <v/>
      </c>
    </row>
    <row r="193" spans="5:16">
      <c r="E193" s="5" t="str">
        <f t="shared" si="22"/>
        <v/>
      </c>
      <c r="F193" s="5" t="str">
        <f t="shared" si="23"/>
        <v/>
      </c>
      <c r="G193" s="5" t="str">
        <f t="shared" si="24"/>
        <v/>
      </c>
      <c r="H193" s="5" t="str">
        <f t="shared" si="25"/>
        <v/>
      </c>
      <c r="I193" s="5"/>
      <c r="J193" s="5" t="str">
        <f t="shared" si="26"/>
        <v/>
      </c>
      <c r="K193" s="5" t="str">
        <f t="shared" si="27"/>
        <v/>
      </c>
      <c r="L193" s="6" t="str">
        <f t="shared" si="28"/>
        <v/>
      </c>
      <c r="M193" s="7" t="str">
        <f t="shared" si="29"/>
        <v/>
      </c>
      <c r="N193" t="str">
        <f t="shared" si="30"/>
        <v/>
      </c>
      <c r="O193" t="str">
        <f t="shared" si="31"/>
        <v/>
      </c>
      <c r="P193" s="8" t="str">
        <f t="shared" si="32"/>
        <v/>
      </c>
    </row>
    <row r="194" spans="5:16">
      <c r="E194" s="5" t="str">
        <f t="shared" ref="E194:E201" si="33">IF(OR(TRIM(B194&amp;"")="",TRIM(C194&amp;"")=""),"",IF(O194="无法匹配","无法匹配",IF(O194="Big","未上线",IF(O194="Extra Small",ROUND(P194*1000*0.025+3,2),IF(O194="Budget",ROUND(P194*1000*0.017+23,2),IF(O194="Small",ROUND(P194*1000*0.025+16,2),IF(O194="Premium Small",ROUND(P194*1000*0.025+22,2),IF(O194="Premium Big",ROUND(P194*1000*0.023+62,2),""))))))))</f>
        <v/>
      </c>
      <c r="F194" s="5" t="str">
        <f t="shared" ref="F194:F201" si="34">IF(TRIM(C194&amp;"")="","",ROUND(IFERROR(VALUE(C194),0)*IF((IFERROR(VALUE(C194),0)*$R$2)&lt;1500,12%,20%),2))</f>
        <v/>
      </c>
      <c r="G194" s="5" t="str">
        <f t="shared" ref="G194:G201" si="35">IF(TRIM(C194&amp;"")="","",3)</f>
        <v/>
      </c>
      <c r="H194" s="5" t="str">
        <f t="shared" ref="H194:H201" si="36">IF(TRIM(C194&amp;"")="","",ROUND(IFERROR(VALUE(C194),0)*2%,2))</f>
        <v/>
      </c>
      <c r="I194" s="5"/>
      <c r="J194" s="5" t="str">
        <f t="shared" ref="J194:J201" si="37">IF(TRIM(C194&amp;"")="","",ROUND(IFERROR(VALUE(C194),0)*2%,2))</f>
        <v/>
      </c>
      <c r="K194" s="5" t="str">
        <f t="shared" ref="K194:K201" si="38">IF(TRIM(C194&amp;"")="","",IF(OR(E194="未上线",E194="无法匹配"),E194,ROUND(IFERROR(VALUE(D194),0)+N(E194)+N(F194)+N(G194)+N(H194)+IFERROR(VALUE(I194),0)+N(J194),2)))</f>
        <v/>
      </c>
      <c r="L194" s="6" t="str">
        <f t="shared" ref="L194:L201" si="39">IF(TRIM(C194&amp;"")="","",IF(OR(E194="未上线",E194="无法匹配"),E194,ROUND(IFERROR(VALUE(C194),0)-K194,2)))</f>
        <v/>
      </c>
      <c r="M194" s="7" t="str">
        <f t="shared" ref="M194:M201" si="40">IF(TRIM(C194&amp;"")="","",IF(OR(E194="未上线",E194="无法匹配"),"",IF(IFERROR(VALUE(C194),0)=0,"",L194/IFERROR(VALUE(C194),0))))</f>
        <v/>
      </c>
      <c r="N194" t="str">
        <f t="shared" ref="N194:N201" si="41">IF(OR(TRIM(A194&amp;"")="",TRIM(C194&amp;"")=""),"",A194&amp;","&amp;ROUND(IFERROR(VALUE(C194),0)*2,0))</f>
        <v/>
      </c>
      <c r="O194" t="str">
        <f t="shared" ref="O194:O201" si="42">IF(OR(TRIM(B194&amp;"")="",TRIM(C194&amp;"")=""),"",IF(AND((IFERROR(VALUE(C194),0)*$R$2)&gt;=0,(IFERROR(VALUE(C194),0)*$R$2)&lt;1500,IFERROR(VALUE(B194),0)&gt;=0,IFERROR(VALUE(B194),0)&lt;=500),"Extra Small",IF(AND((IFERROR(VALUE(C194),0)*$R$2)&gt;=0,(IFERROR(VALUE(C194),0)*$R$2)&lt;1500,IFERROR(VALUE(B194),0)&gt;500,IFERROR(VALUE(B194),0)&lt;=30000),"Budget",IF(AND((IFERROR(VALUE(C194),0)*$R$2)&gt;=1500,(IFERROR(VALUE(C194),0)*$R$2)&lt;7000,IFERROR(VALUE(B194),0)&gt;=0,IFERROR(VALUE(B194),0)&lt;=2000),"Small",IF(AND((IFERROR(VALUE(C194),0)*$R$2)&gt;=1500,(IFERROR(VALUE(C194),0)*$R$2)&lt;7000,IFERROR(VALUE(B194),0)&gt;2000,IFERROR(VALUE(B194),0)&lt;=30000),"Big",IF(AND((IFERROR(VALUE(C194),0)*$R$2)&gt;=7000,(IFERROR(VALUE(C194),0)*$R$2)&lt;=250000,IFERROR(VALUE(B194),0)&gt;=0,IFERROR(VALUE(B194),0)&lt;=5000),"Premium Small",IF(AND((IFERROR(VALUE(C194),0)*$R$2)&gt;=7000,(IFERROR(VALUE(C194),0)*$R$2)&lt;=250000,IFERROR(VALUE(B194),0)&gt;5000,IFERROR(VALUE(B194),0)&lt;=30000),"Premium Big","无法匹配")))))))</f>
        <v/>
      </c>
      <c r="P194" s="8" t="str">
        <f t="shared" ref="P194:P201" si="43">IF(O194="","",IF(O194="无法匹配","",IF(OR(O194="Extra Small",O194="Budget"),ROUND(IFERROR(VALUE(B194),0)/1000,3),ROUND(MAX(IFERROR(VALUE(B194),0)/1000,(20*20*20/12000)),3))))</f>
        <v/>
      </c>
    </row>
    <row r="195" spans="5:16">
      <c r="E195" s="5" t="str">
        <f t="shared" si="33"/>
        <v/>
      </c>
      <c r="F195" s="5" t="str">
        <f t="shared" si="34"/>
        <v/>
      </c>
      <c r="G195" s="5" t="str">
        <f t="shared" si="35"/>
        <v/>
      </c>
      <c r="H195" s="5" t="str">
        <f t="shared" si="36"/>
        <v/>
      </c>
      <c r="I195" s="5"/>
      <c r="J195" s="5" t="str">
        <f t="shared" si="37"/>
        <v/>
      </c>
      <c r="K195" s="5" t="str">
        <f t="shared" si="38"/>
        <v/>
      </c>
      <c r="L195" s="6" t="str">
        <f t="shared" si="39"/>
        <v/>
      </c>
      <c r="M195" s="7" t="str">
        <f t="shared" si="40"/>
        <v/>
      </c>
      <c r="N195" t="str">
        <f t="shared" si="41"/>
        <v/>
      </c>
      <c r="O195" t="str">
        <f t="shared" si="42"/>
        <v/>
      </c>
      <c r="P195" s="8" t="str">
        <f t="shared" si="43"/>
        <v/>
      </c>
    </row>
    <row r="196" spans="5:16">
      <c r="E196" s="5" t="str">
        <f t="shared" si="33"/>
        <v/>
      </c>
      <c r="F196" s="5" t="str">
        <f t="shared" si="34"/>
        <v/>
      </c>
      <c r="G196" s="5" t="str">
        <f t="shared" si="35"/>
        <v/>
      </c>
      <c r="H196" s="5" t="str">
        <f t="shared" si="36"/>
        <v/>
      </c>
      <c r="I196" s="5"/>
      <c r="J196" s="5" t="str">
        <f t="shared" si="37"/>
        <v/>
      </c>
      <c r="K196" s="5" t="str">
        <f t="shared" si="38"/>
        <v/>
      </c>
      <c r="L196" s="6" t="str">
        <f t="shared" si="39"/>
        <v/>
      </c>
      <c r="M196" s="7" t="str">
        <f t="shared" si="40"/>
        <v/>
      </c>
      <c r="N196" t="str">
        <f t="shared" si="41"/>
        <v/>
      </c>
      <c r="O196" t="str">
        <f t="shared" si="42"/>
        <v/>
      </c>
      <c r="P196" s="8" t="str">
        <f t="shared" si="43"/>
        <v/>
      </c>
    </row>
    <row r="197" spans="5:16">
      <c r="E197" s="5" t="str">
        <f t="shared" si="33"/>
        <v/>
      </c>
      <c r="F197" s="5" t="str">
        <f t="shared" si="34"/>
        <v/>
      </c>
      <c r="G197" s="5" t="str">
        <f t="shared" si="35"/>
        <v/>
      </c>
      <c r="H197" s="5" t="str">
        <f t="shared" si="36"/>
        <v/>
      </c>
      <c r="I197" s="5"/>
      <c r="J197" s="5" t="str">
        <f t="shared" si="37"/>
        <v/>
      </c>
      <c r="K197" s="5" t="str">
        <f t="shared" si="38"/>
        <v/>
      </c>
      <c r="L197" s="6" t="str">
        <f t="shared" si="39"/>
        <v/>
      </c>
      <c r="M197" s="7" t="str">
        <f t="shared" si="40"/>
        <v/>
      </c>
      <c r="N197" t="str">
        <f t="shared" si="41"/>
        <v/>
      </c>
      <c r="O197" t="str">
        <f t="shared" si="42"/>
        <v/>
      </c>
      <c r="P197" s="8" t="str">
        <f t="shared" si="43"/>
        <v/>
      </c>
    </row>
    <row r="198" spans="5:16">
      <c r="E198" s="5" t="str">
        <f t="shared" si="33"/>
        <v/>
      </c>
      <c r="F198" s="5" t="str">
        <f t="shared" si="34"/>
        <v/>
      </c>
      <c r="G198" s="5" t="str">
        <f t="shared" si="35"/>
        <v/>
      </c>
      <c r="H198" s="5" t="str">
        <f t="shared" si="36"/>
        <v/>
      </c>
      <c r="I198" s="5"/>
      <c r="J198" s="5" t="str">
        <f t="shared" si="37"/>
        <v/>
      </c>
      <c r="K198" s="5" t="str">
        <f t="shared" si="38"/>
        <v/>
      </c>
      <c r="L198" s="6" t="str">
        <f t="shared" si="39"/>
        <v/>
      </c>
      <c r="M198" s="7" t="str">
        <f t="shared" si="40"/>
        <v/>
      </c>
      <c r="N198" t="str">
        <f t="shared" si="41"/>
        <v/>
      </c>
      <c r="O198" t="str">
        <f t="shared" si="42"/>
        <v/>
      </c>
      <c r="P198" s="8" t="str">
        <f t="shared" si="43"/>
        <v/>
      </c>
    </row>
    <row r="199" spans="5:16">
      <c r="E199" s="5" t="str">
        <f t="shared" si="33"/>
        <v/>
      </c>
      <c r="F199" s="5" t="str">
        <f t="shared" si="34"/>
        <v/>
      </c>
      <c r="G199" s="5" t="str">
        <f t="shared" si="35"/>
        <v/>
      </c>
      <c r="H199" s="5" t="str">
        <f t="shared" si="36"/>
        <v/>
      </c>
      <c r="I199" s="5"/>
      <c r="J199" s="5" t="str">
        <f t="shared" si="37"/>
        <v/>
      </c>
      <c r="K199" s="5" t="str">
        <f t="shared" si="38"/>
        <v/>
      </c>
      <c r="L199" s="6" t="str">
        <f t="shared" si="39"/>
        <v/>
      </c>
      <c r="M199" s="7" t="str">
        <f t="shared" si="40"/>
        <v/>
      </c>
      <c r="N199" t="str">
        <f t="shared" si="41"/>
        <v/>
      </c>
      <c r="O199" t="str">
        <f t="shared" si="42"/>
        <v/>
      </c>
      <c r="P199" s="8" t="str">
        <f t="shared" si="43"/>
        <v/>
      </c>
    </row>
    <row r="200" spans="5:16">
      <c r="E200" s="5" t="str">
        <f t="shared" si="33"/>
        <v/>
      </c>
      <c r="F200" s="5" t="str">
        <f t="shared" si="34"/>
        <v/>
      </c>
      <c r="G200" s="5" t="str">
        <f t="shared" si="35"/>
        <v/>
      </c>
      <c r="H200" s="5" t="str">
        <f t="shared" si="36"/>
        <v/>
      </c>
      <c r="I200" s="5"/>
      <c r="J200" s="5" t="str">
        <f t="shared" si="37"/>
        <v/>
      </c>
      <c r="K200" s="5" t="str">
        <f t="shared" si="38"/>
        <v/>
      </c>
      <c r="L200" s="6" t="str">
        <f t="shared" si="39"/>
        <v/>
      </c>
      <c r="M200" s="7" t="str">
        <f t="shared" si="40"/>
        <v/>
      </c>
      <c r="N200" t="str">
        <f t="shared" si="41"/>
        <v/>
      </c>
      <c r="O200" t="str">
        <f t="shared" si="42"/>
        <v/>
      </c>
      <c r="P200" s="8" t="str">
        <f t="shared" si="43"/>
        <v/>
      </c>
    </row>
    <row r="201" spans="5:16">
      <c r="E201" s="5" t="str">
        <f t="shared" si="33"/>
        <v/>
      </c>
      <c r="F201" s="5" t="str">
        <f t="shared" si="34"/>
        <v/>
      </c>
      <c r="G201" s="5" t="str">
        <f t="shared" si="35"/>
        <v/>
      </c>
      <c r="H201" s="5" t="str">
        <f t="shared" si="36"/>
        <v/>
      </c>
      <c r="I201" s="5"/>
      <c r="J201" s="5" t="str">
        <f t="shared" si="37"/>
        <v/>
      </c>
      <c r="K201" s="5" t="str">
        <f t="shared" si="38"/>
        <v/>
      </c>
      <c r="L201" s="6" t="str">
        <f t="shared" si="39"/>
        <v/>
      </c>
      <c r="M201" s="7" t="str">
        <f t="shared" si="40"/>
        <v/>
      </c>
      <c r="N201" t="str">
        <f t="shared" si="41"/>
        <v/>
      </c>
      <c r="O201" t="str">
        <f t="shared" si="42"/>
        <v/>
      </c>
      <c r="P201" s="8" t="str">
        <f t="shared" si="43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</dc:creator>
  <cp:lastModifiedBy>─=≡Σ((( つ•̀ω•́)つ</cp:lastModifiedBy>
  <dcterms:created xsi:type="dcterms:W3CDTF">2026-03-09T05:00:00Z</dcterms:created>
  <dcterms:modified xsi:type="dcterms:W3CDTF">2026-06-26T17:49:50Z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644BCB50219C13043E4B3E6AFCB0959B_43</vt:lpwstr>
  </property>
  <property fmtid="{D5CDD505-2E9C-101B-9397-08002B2CF9AE}" pid="3" name="KSOProductBuildVer">
    <vt:lpwstr>2052-6.13.2.8918</vt:lpwstr>
  </property>
  <property fmtid="{D5CDD505-2E9C-101B-9397-08002B2CF9AE}" pid="4" name="CalculationRule">
    <vt:i4>0</vt:i4>
  </property>
</Properties>
</file>